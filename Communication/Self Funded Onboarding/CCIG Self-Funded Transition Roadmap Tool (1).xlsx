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thinkccig.sharepoint.com/sites/MarketingTeamSite/Shared Documents/General/Collateral/Employee Benefits/Client Self Fundd Onboarding/"/>
    </mc:Choice>
  </mc:AlternateContent>
  <xr:revisionPtr revIDLastSave="0" documentId="8_{7D973C37-533B-4874-AA7F-8E1B88AD0760}" xr6:coauthVersionLast="47" xr6:coauthVersionMax="47" xr10:uidLastSave="{00000000-0000-0000-0000-000000000000}"/>
  <bookViews>
    <workbookView xWindow="54495" yWindow="-12885" windowWidth="26010" windowHeight="20985" tabRatio="500" xr2:uid="{00000000-000D-0000-FFFF-FFFF00000000}"/>
  </bookViews>
  <sheets>
    <sheet name="Instructions" sheetId="1" r:id="rId1"/>
    <sheet name="Client Setup" sheetId="2" r:id="rId2"/>
    <sheet name="Roadmap Overview" sheetId="3" r:id="rId3"/>
    <sheet name="HR Checklist" sheetId="4" r:id="rId4"/>
    <sheet name="Finance Checklist" sheetId="5" r:id="rId5"/>
    <sheet name="Signing Checklist" sheetId="6" r:id="rId6"/>
    <sheet name="Full Roadmap" sheetId="7" r:id="rId7"/>
    <sheet name="Document &amp; Task Library" sheetId="8" r:id="rId8"/>
    <sheet name="Project Tracker" sheetId="9" r:id="rId9"/>
  </sheets>
  <definedNames>
    <definedName name="_xlnm._FilterDatabase" localSheetId="7" hidden="1">'Document &amp; Task Library'!$A$4:$K$49</definedName>
    <definedName name="_xlnm._FilterDatabase" localSheetId="4" hidden="1">'Finance Checklist'!$A$5:$E$18</definedName>
    <definedName name="_xlnm._FilterDatabase" localSheetId="6" hidden="1">'Full Roadmap'!$A$5:$G$100</definedName>
    <definedName name="_xlnm._FilterDatabase" localSheetId="3" hidden="1">'HR Checklist'!$A$5:$E$50</definedName>
    <definedName name="_xlnm._FilterDatabase" localSheetId="5" hidden="1">'Signing Checklist'!$A$5:$E$46</definedName>
    <definedName name="_xlnm.Print_Area" localSheetId="1">'Client Setup'!$A$1:$D$38</definedName>
    <definedName name="_xlnm.Print_Area" localSheetId="7">'Document &amp; Task Library'!$A$1:$K$49</definedName>
    <definedName name="_xlnm.Print_Area" localSheetId="4">'Finance Checklist'!$A$1:$E$18</definedName>
    <definedName name="_xlnm.Print_Area" localSheetId="6">'Full Roadmap'!$A$1:$G$100</definedName>
    <definedName name="_xlnm.Print_Area" localSheetId="3">'HR Checklist'!$A$1:$E$50</definedName>
    <definedName name="_xlnm.Print_Area" localSheetId="0">Instructions!$A$1:$E$25</definedName>
    <definedName name="_xlnm.Print_Area" localSheetId="8">'Project Tracker'!$A$1:$D$19</definedName>
    <definedName name="_xlnm.Print_Area" localSheetId="2">'Roadmap Overview'!$A$1:$K$40</definedName>
    <definedName name="_xlnm.Print_Area" localSheetId="5">'Signing Checklist'!$A$1:$E$46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9" i="9" l="1"/>
  <c r="C18" i="9"/>
  <c r="C17" i="9"/>
  <c r="C12" i="9"/>
  <c r="C6" i="9"/>
  <c r="C5" i="9"/>
  <c r="C4" i="9"/>
  <c r="C3" i="9"/>
  <c r="B100" i="7"/>
  <c r="F99" i="7"/>
  <c r="E99" i="7"/>
  <c r="D99" i="7"/>
  <c r="C99" i="7"/>
  <c r="B99" i="7"/>
  <c r="B98" i="7"/>
  <c r="F97" i="7"/>
  <c r="E97" i="7"/>
  <c r="D97" i="7"/>
  <c r="C97" i="7"/>
  <c r="B97" i="7"/>
  <c r="B96" i="7"/>
  <c r="F95" i="7"/>
  <c r="E95" i="7"/>
  <c r="D95" i="7"/>
  <c r="C95" i="7"/>
  <c r="B95" i="7"/>
  <c r="B94" i="7"/>
  <c r="F93" i="7"/>
  <c r="E93" i="7"/>
  <c r="D93" i="7"/>
  <c r="C93" i="7"/>
  <c r="B93" i="7"/>
  <c r="B92" i="7"/>
  <c r="F91" i="7"/>
  <c r="E91" i="7"/>
  <c r="D91" i="7"/>
  <c r="C91" i="7"/>
  <c r="B91" i="7"/>
  <c r="B90" i="7"/>
  <c r="F89" i="7"/>
  <c r="E89" i="7"/>
  <c r="D89" i="7"/>
  <c r="C89" i="7"/>
  <c r="B89" i="7"/>
  <c r="B88" i="7"/>
  <c r="F87" i="7"/>
  <c r="E87" i="7"/>
  <c r="D87" i="7"/>
  <c r="C87" i="7"/>
  <c r="B87" i="7"/>
  <c r="B86" i="7"/>
  <c r="F85" i="7"/>
  <c r="E85" i="7"/>
  <c r="D85" i="7"/>
  <c r="C85" i="7"/>
  <c r="B85" i="7"/>
  <c r="B84" i="7"/>
  <c r="F83" i="7"/>
  <c r="E83" i="7"/>
  <c r="D83" i="7"/>
  <c r="C83" i="7"/>
  <c r="B83" i="7"/>
  <c r="B82" i="7"/>
  <c r="F81" i="7"/>
  <c r="E81" i="7"/>
  <c r="D81" i="7"/>
  <c r="C81" i="7"/>
  <c r="B81" i="7"/>
  <c r="B80" i="7"/>
  <c r="F79" i="7"/>
  <c r="E79" i="7"/>
  <c r="D79" i="7"/>
  <c r="C79" i="7"/>
  <c r="B79" i="7"/>
  <c r="B78" i="7"/>
  <c r="F77" i="7"/>
  <c r="E77" i="7"/>
  <c r="D77" i="7"/>
  <c r="C77" i="7"/>
  <c r="B77" i="7"/>
  <c r="B76" i="7"/>
  <c r="F75" i="7"/>
  <c r="E75" i="7"/>
  <c r="D75" i="7"/>
  <c r="C75" i="7"/>
  <c r="B75" i="7"/>
  <c r="B73" i="7"/>
  <c r="F72" i="7"/>
  <c r="E72" i="7"/>
  <c r="D72" i="7"/>
  <c r="C72" i="7"/>
  <c r="B72" i="7"/>
  <c r="B71" i="7"/>
  <c r="F70" i="7"/>
  <c r="E70" i="7"/>
  <c r="D70" i="7"/>
  <c r="C70" i="7"/>
  <c r="B70" i="7"/>
  <c r="B68" i="7"/>
  <c r="F67" i="7"/>
  <c r="E67" i="7"/>
  <c r="D67" i="7"/>
  <c r="C67" i="7"/>
  <c r="B67" i="7"/>
  <c r="B66" i="7"/>
  <c r="F65" i="7"/>
  <c r="E65" i="7"/>
  <c r="D65" i="7"/>
  <c r="C65" i="7"/>
  <c r="B65" i="7"/>
  <c r="B64" i="7"/>
  <c r="F63" i="7"/>
  <c r="E63" i="7"/>
  <c r="D63" i="7"/>
  <c r="C63" i="7"/>
  <c r="B63" i="7"/>
  <c r="B62" i="7"/>
  <c r="F61" i="7"/>
  <c r="E61" i="7"/>
  <c r="D61" i="7"/>
  <c r="C61" i="7"/>
  <c r="B61" i="7"/>
  <c r="B59" i="7"/>
  <c r="F58" i="7"/>
  <c r="E58" i="7"/>
  <c r="D58" i="7"/>
  <c r="C58" i="7"/>
  <c r="B58" i="7"/>
  <c r="B57" i="7"/>
  <c r="F56" i="7"/>
  <c r="E56" i="7"/>
  <c r="D56" i="7"/>
  <c r="C56" i="7"/>
  <c r="B56" i="7"/>
  <c r="B55" i="7"/>
  <c r="F54" i="7"/>
  <c r="E54" i="7"/>
  <c r="D54" i="7"/>
  <c r="C54" i="7"/>
  <c r="B54" i="7"/>
  <c r="B53" i="7"/>
  <c r="F52" i="7"/>
  <c r="E52" i="7"/>
  <c r="D52" i="7"/>
  <c r="C52" i="7"/>
  <c r="B52" i="7"/>
  <c r="B51" i="7"/>
  <c r="F50" i="7"/>
  <c r="E50" i="7"/>
  <c r="D50" i="7"/>
  <c r="C50" i="7"/>
  <c r="B50" i="7"/>
  <c r="B49" i="7"/>
  <c r="F48" i="7"/>
  <c r="E48" i="7"/>
  <c r="D48" i="7"/>
  <c r="C48" i="7"/>
  <c r="B48" i="7"/>
  <c r="B47" i="7"/>
  <c r="F46" i="7"/>
  <c r="E46" i="7"/>
  <c r="D46" i="7"/>
  <c r="C46" i="7"/>
  <c r="B46" i="7"/>
  <c r="B45" i="7"/>
  <c r="F44" i="7"/>
  <c r="E44" i="7"/>
  <c r="D44" i="7"/>
  <c r="C44" i="7"/>
  <c r="B44" i="7"/>
  <c r="B43" i="7"/>
  <c r="F42" i="7"/>
  <c r="E42" i="7"/>
  <c r="D42" i="7"/>
  <c r="C42" i="7"/>
  <c r="B42" i="7"/>
  <c r="B41" i="7"/>
  <c r="F40" i="7"/>
  <c r="E40" i="7"/>
  <c r="D40" i="7"/>
  <c r="C40" i="7"/>
  <c r="B40" i="7"/>
  <c r="B39" i="7"/>
  <c r="F38" i="7"/>
  <c r="E38" i="7"/>
  <c r="D38" i="7"/>
  <c r="C38" i="7"/>
  <c r="B38" i="7"/>
  <c r="B37" i="7"/>
  <c r="F36" i="7"/>
  <c r="E36" i="7"/>
  <c r="D36" i="7"/>
  <c r="C36" i="7"/>
  <c r="B36" i="7"/>
  <c r="B35" i="7"/>
  <c r="F34" i="7"/>
  <c r="E34" i="7"/>
  <c r="D34" i="7"/>
  <c r="C34" i="7"/>
  <c r="B34" i="7"/>
  <c r="B33" i="7"/>
  <c r="F32" i="7"/>
  <c r="E32" i="7"/>
  <c r="D32" i="7"/>
  <c r="C32" i="7"/>
  <c r="B32" i="7"/>
  <c r="B31" i="7"/>
  <c r="F30" i="7"/>
  <c r="E30" i="7"/>
  <c r="D30" i="7"/>
  <c r="C30" i="7"/>
  <c r="B30" i="7"/>
  <c r="B29" i="7"/>
  <c r="F28" i="7"/>
  <c r="E28" i="7"/>
  <c r="D28" i="7"/>
  <c r="C28" i="7"/>
  <c r="B28" i="7"/>
  <c r="B27" i="7"/>
  <c r="F26" i="7"/>
  <c r="E26" i="7"/>
  <c r="D26" i="7"/>
  <c r="C26" i="7"/>
  <c r="B26" i="7"/>
  <c r="B25" i="7"/>
  <c r="F24" i="7"/>
  <c r="E24" i="7"/>
  <c r="D24" i="7"/>
  <c r="C24" i="7"/>
  <c r="B24" i="7"/>
  <c r="B23" i="7"/>
  <c r="F22" i="7"/>
  <c r="E22" i="7"/>
  <c r="D22" i="7"/>
  <c r="C22" i="7"/>
  <c r="B22" i="7"/>
  <c r="B21" i="7"/>
  <c r="F20" i="7"/>
  <c r="E20" i="7"/>
  <c r="D20" i="7"/>
  <c r="C20" i="7"/>
  <c r="B20" i="7"/>
  <c r="B18" i="7"/>
  <c r="F17" i="7"/>
  <c r="E17" i="7"/>
  <c r="D17" i="7"/>
  <c r="C17" i="7"/>
  <c r="B17" i="7"/>
  <c r="B16" i="7"/>
  <c r="F15" i="7"/>
  <c r="E15" i="7"/>
  <c r="D15" i="7"/>
  <c r="C15" i="7"/>
  <c r="B15" i="7"/>
  <c r="B14" i="7"/>
  <c r="F13" i="7"/>
  <c r="E13" i="7"/>
  <c r="D13" i="7"/>
  <c r="C13" i="7"/>
  <c r="B13" i="7"/>
  <c r="B12" i="7"/>
  <c r="E11" i="7"/>
  <c r="D11" i="7"/>
  <c r="C11" i="7"/>
  <c r="B11" i="7"/>
  <c r="B10" i="7"/>
  <c r="F9" i="7"/>
  <c r="E9" i="7"/>
  <c r="D9" i="7"/>
  <c r="C9" i="7"/>
  <c r="B9" i="7"/>
  <c r="B8" i="7"/>
  <c r="F7" i="7"/>
  <c r="C16" i="9" s="1"/>
  <c r="E7" i="7"/>
  <c r="D7" i="7"/>
  <c r="C7" i="7"/>
  <c r="B7" i="7"/>
  <c r="A2" i="7"/>
  <c r="B46" i="6"/>
  <c r="D45" i="6"/>
  <c r="C45" i="6"/>
  <c r="B45" i="6"/>
  <c r="B44" i="6"/>
  <c r="D43" i="6"/>
  <c r="C43" i="6"/>
  <c r="B43" i="6"/>
  <c r="B42" i="6"/>
  <c r="D41" i="6"/>
  <c r="C41" i="6"/>
  <c r="B41" i="6"/>
  <c r="B40" i="6"/>
  <c r="D39" i="6"/>
  <c r="C39" i="6"/>
  <c r="B39" i="6"/>
  <c r="B38" i="6"/>
  <c r="D37" i="6"/>
  <c r="C37" i="6"/>
  <c r="B37" i="6"/>
  <c r="B36" i="6"/>
  <c r="D35" i="6"/>
  <c r="C35" i="6"/>
  <c r="B35" i="6"/>
  <c r="B34" i="6"/>
  <c r="D33" i="6"/>
  <c r="C33" i="6"/>
  <c r="B33" i="6"/>
  <c r="B32" i="6"/>
  <c r="D31" i="6"/>
  <c r="C31" i="6"/>
  <c r="B31" i="6"/>
  <c r="B30" i="6"/>
  <c r="D29" i="6"/>
  <c r="C29" i="6"/>
  <c r="B29" i="6"/>
  <c r="B28" i="6"/>
  <c r="D27" i="6"/>
  <c r="C27" i="6"/>
  <c r="B27" i="6"/>
  <c r="B26" i="6"/>
  <c r="D25" i="6"/>
  <c r="C25" i="6"/>
  <c r="B25" i="6"/>
  <c r="B24" i="6"/>
  <c r="D23" i="6"/>
  <c r="C23" i="6"/>
  <c r="B23" i="6"/>
  <c r="B22" i="6"/>
  <c r="D21" i="6"/>
  <c r="C21" i="6"/>
  <c r="B21" i="6"/>
  <c r="B20" i="6"/>
  <c r="D19" i="6"/>
  <c r="C19" i="6"/>
  <c r="B19" i="6"/>
  <c r="B18" i="6"/>
  <c r="D17" i="6"/>
  <c r="C17" i="6"/>
  <c r="B17" i="6"/>
  <c r="B16" i="6"/>
  <c r="D15" i="6"/>
  <c r="C15" i="6"/>
  <c r="B15" i="6"/>
  <c r="B14" i="6"/>
  <c r="D13" i="6"/>
  <c r="C13" i="6"/>
  <c r="B13" i="6"/>
  <c r="B12" i="6"/>
  <c r="D11" i="6"/>
  <c r="C11" i="6"/>
  <c r="B11" i="6"/>
  <c r="B10" i="6"/>
  <c r="D9" i="6"/>
  <c r="C10" i="9" s="1"/>
  <c r="C9" i="6"/>
  <c r="B9" i="6"/>
  <c r="B8" i="6"/>
  <c r="D7" i="6"/>
  <c r="C7" i="6"/>
  <c r="B7" i="6"/>
  <c r="A2" i="6"/>
  <c r="B18" i="5"/>
  <c r="D17" i="5"/>
  <c r="C17" i="5"/>
  <c r="B17" i="5"/>
  <c r="B16" i="5"/>
  <c r="D15" i="5"/>
  <c r="C15" i="5"/>
  <c r="B15" i="5"/>
  <c r="B13" i="5"/>
  <c r="D12" i="5"/>
  <c r="C12" i="5"/>
  <c r="B12" i="5"/>
  <c r="B10" i="5"/>
  <c r="D9" i="5"/>
  <c r="C9" i="5"/>
  <c r="B9" i="5"/>
  <c r="B8" i="5"/>
  <c r="D7" i="5"/>
  <c r="C7" i="5"/>
  <c r="B7" i="5"/>
  <c r="A2" i="5"/>
  <c r="B50" i="4"/>
  <c r="D49" i="4"/>
  <c r="C49" i="4"/>
  <c r="B49" i="4"/>
  <c r="B48" i="4"/>
  <c r="D47" i="4"/>
  <c r="C47" i="4"/>
  <c r="B47" i="4"/>
  <c r="B46" i="4"/>
  <c r="D45" i="4"/>
  <c r="C45" i="4"/>
  <c r="B45" i="4"/>
  <c r="B44" i="4"/>
  <c r="D43" i="4"/>
  <c r="C43" i="4"/>
  <c r="B43" i="4"/>
  <c r="B42" i="4"/>
  <c r="D41" i="4"/>
  <c r="C41" i="4"/>
  <c r="B41" i="4"/>
  <c r="B40" i="4"/>
  <c r="D39" i="4"/>
  <c r="C39" i="4"/>
  <c r="B39" i="4"/>
  <c r="B38" i="4"/>
  <c r="D37" i="4"/>
  <c r="C37" i="4"/>
  <c r="B37" i="4"/>
  <c r="B36" i="4"/>
  <c r="D35" i="4"/>
  <c r="C35" i="4"/>
  <c r="B35" i="4"/>
  <c r="B34" i="4"/>
  <c r="D33" i="4"/>
  <c r="C33" i="4"/>
  <c r="B33" i="4"/>
  <c r="B32" i="4"/>
  <c r="D31" i="4"/>
  <c r="C31" i="4"/>
  <c r="B31" i="4"/>
  <c r="B30" i="4"/>
  <c r="D29" i="4"/>
  <c r="C29" i="4"/>
  <c r="B29" i="4"/>
  <c r="B28" i="4"/>
  <c r="D27" i="4"/>
  <c r="C27" i="4"/>
  <c r="B27" i="4"/>
  <c r="B26" i="4"/>
  <c r="D25" i="4"/>
  <c r="C25" i="4"/>
  <c r="B25" i="4"/>
  <c r="B23" i="4"/>
  <c r="D22" i="4"/>
  <c r="C22" i="4"/>
  <c r="B22" i="4"/>
  <c r="B21" i="4"/>
  <c r="D20" i="4"/>
  <c r="C20" i="4"/>
  <c r="B20" i="4"/>
  <c r="B19" i="4"/>
  <c r="D18" i="4"/>
  <c r="C18" i="4"/>
  <c r="B18" i="4"/>
  <c r="B17" i="4"/>
  <c r="D16" i="4"/>
  <c r="C16" i="4"/>
  <c r="B16" i="4"/>
  <c r="B14" i="4"/>
  <c r="D13" i="4"/>
  <c r="C13" i="4"/>
  <c r="B13" i="4"/>
  <c r="B12" i="4"/>
  <c r="C11" i="4"/>
  <c r="B11" i="4"/>
  <c r="B10" i="4"/>
  <c r="D9" i="4"/>
  <c r="C9" i="4"/>
  <c r="B9" i="4"/>
  <c r="B8" i="4"/>
  <c r="D7" i="4"/>
  <c r="C7" i="4"/>
  <c r="B7" i="4"/>
  <c r="A2" i="4"/>
  <c r="B2" i="3"/>
  <c r="D38" i="2"/>
  <c r="F11" i="7" s="1"/>
  <c r="C11" i="9" l="1"/>
  <c r="D11" i="4"/>
</calcChain>
</file>

<file path=xl/sharedStrings.xml><?xml version="1.0" encoding="utf-8"?>
<sst xmlns="http://schemas.openxmlformats.org/spreadsheetml/2006/main" count="660" uniqueCount="309">
  <si>
    <t>Self-Funded Transition &amp; Optimization Roadmap Tool</t>
  </si>
  <si>
    <t>CCIG  |  Internal Planning Tool</t>
  </si>
  <si>
    <t>What this is</t>
  </si>
  <si>
    <t>One selection on the Client Setup tab drives everything else: a visual roadmap cover page, and four short, audience-specific checklists (HR, Finance, Signing, and the Full Roadmap for anyone who wants everything). Each checklist item is a single scannable line; click the small [+] to its left to expand the full explanation only when you need it.</t>
  </si>
  <si>
    <t>How to use it, in order</t>
  </si>
  <si>
    <t>1. Client Setup</t>
  </si>
  <si>
    <t>Enter the client's name and engagement type, then mark Yes/No for every plan component and Savings Engine vendor. This is the only tab you edit per client.</t>
  </si>
  <si>
    <t>2. Roadmap Overview</t>
  </si>
  <si>
    <t>The client-facing cover page: a visual timeline plus one-click links into each checklist. This is what you lead with.</t>
  </si>
  <si>
    <t>3. HR / Finance / Signing Checklists</t>
  </si>
  <si>
    <t>Short, audience-specific checklists that rebuild themselves from your Setup selections. Not-applicable items grey out automatically; click the Applicable filter and choose Yes for the clean client view. Expand any row's [+] for the full explanation.</t>
  </si>
  <si>
    <t>4. Full Roadmap</t>
  </si>
  <si>
    <t>The same content, unfiltered by audience, for anyone who wants the complete picture in one place.</t>
  </si>
  <si>
    <t>5. Document &amp; Task Library</t>
  </si>
  <si>
    <t>The master content behind every checklist. Edit Description / Short Line / What to Expect here to refine language; changes flow into every future roadmap automatically.</t>
  </si>
  <si>
    <t>6. Project Tracker</t>
  </si>
  <si>
    <t>Your own internal status rollup. Not meant for the client.</t>
  </si>
  <si>
    <t>Legend</t>
  </si>
  <si>
    <t xml:space="preserve">  </t>
  </si>
  <si>
    <t>Yellow = a cell you fill in or select</t>
  </si>
  <si>
    <t>Grey = not applicable to this client (auto-calculated). Click the Applicable filter above the table and choose Yes to hide these rows.</t>
  </si>
  <si>
    <t xml:space="preserve">  [+]</t>
  </si>
  <si>
    <t>Click to expand the full explanation for that line</t>
  </si>
  <si>
    <t>Reusing this for a new client</t>
  </si>
  <si>
    <t>Save a copy of this workbook per client (e.g. "Acme Co - SF Transition Roadmap.xlsx"). Reset the Client Setup tab, and every other tab rebuilds itself.</t>
  </si>
  <si>
    <t>Client Setup</t>
  </si>
  <si>
    <t>The only tab you edit per client. Everything else builds itself from here.</t>
  </si>
  <si>
    <t>Client Name</t>
  </si>
  <si>
    <t>Example Employer, Inc.</t>
  </si>
  <si>
    <t>Plan / Renewal Effective Date</t>
  </si>
  <si>
    <t>Prepared By</t>
  </si>
  <si>
    <t>CCIG Benefits Team</t>
  </si>
  <si>
    <t>Date Prepared</t>
  </si>
  <si>
    <t>Engagement Type</t>
  </si>
  <si>
    <t>New to Self-Funding</t>
  </si>
  <si>
    <t>CORE PROGRAM COMPONENTS</t>
  </si>
  <si>
    <t>Key</t>
  </si>
  <si>
    <t>Component</t>
  </si>
  <si>
    <t>Include?</t>
  </si>
  <si>
    <t>TPA_ADMIN</t>
  </si>
  <si>
    <t>TPA Administrative Services</t>
  </si>
  <si>
    <t>Yes</t>
  </si>
  <si>
    <t>STOP_LOSS</t>
  </si>
  <si>
    <t>Stop-Loss Coverage</t>
  </si>
  <si>
    <t>PBM</t>
  </si>
  <si>
    <t>Pharmacy Benefit Manager (PBM)</t>
  </si>
  <si>
    <t>CAPTIVE</t>
  </si>
  <si>
    <t>Captive Participation</t>
  </si>
  <si>
    <t>No</t>
  </si>
  <si>
    <t>COST CONTAINMENT / SAVINGS ENGINE SOLUTIONS</t>
  </si>
  <si>
    <t>Vendor / Solution</t>
  </si>
  <si>
    <t>CC_CANCERCARE</t>
  </si>
  <si>
    <t>CancerCare - cancer care navigation</t>
  </si>
  <si>
    <t>CC_EHEALTH</t>
  </si>
  <si>
    <t>eHealth - Medicare/ACA enrollment</t>
  </si>
  <si>
    <t>CC_FIRSTSTOP</t>
  </si>
  <si>
    <t>First Stop Health - virtual primary/urgent care</t>
  </si>
  <si>
    <t>CC_FOUND</t>
  </si>
  <si>
    <t>Found - weight &amp; GLP-1 cost management</t>
  </si>
  <si>
    <t>CC_HUSK</t>
  </si>
  <si>
    <t>HUSK - wellness (nutrition, mental health, rewards)</t>
  </si>
  <si>
    <t>CC_LYRA</t>
  </si>
  <si>
    <t>Lyra Select - mental health</t>
  </si>
  <si>
    <t>CC_PHIA</t>
  </si>
  <si>
    <t>The Phia Group - benefit compliance support</t>
  </si>
  <si>
    <t>CC_PROGENY</t>
  </si>
  <si>
    <t>Progeny Health - neonatal intensive care management</t>
  </si>
  <si>
    <t>CC_RENALOGIC</t>
  </si>
  <si>
    <t>Renalogic - chronic kidney disease &amp; dialysis</t>
  </si>
  <si>
    <t>CC_RIGHTWAY</t>
  </si>
  <si>
    <t>Rightway - surgeries, imaging &amp; care navigation</t>
  </si>
  <si>
    <t>CC_SMARTCONNECT</t>
  </si>
  <si>
    <t>SmartConnect (powered by SmartMatch) - Medicare enrollment</t>
  </si>
  <si>
    <t>CC_SPRINGBUK</t>
  </si>
  <si>
    <t>Springbuk - health data analytics</t>
  </si>
  <si>
    <t>CC_VALENZ</t>
  </si>
  <si>
    <t>Valenz Health - cost containment &amp; claims</t>
  </si>
  <si>
    <t>OPTIONAL ITEMS</t>
  </si>
  <si>
    <t>Item</t>
  </si>
  <si>
    <t>FIN_COVERAGE_CALL</t>
  </si>
  <si>
    <t>Finance: Coverage Determination Calls (optional)</t>
  </si>
  <si>
    <t>CALCULATED (do not edit)</t>
  </si>
  <si>
    <t>ANY_CC</t>
  </si>
  <si>
    <t>Any Cost Containment / Savings Engine solution selected?</t>
  </si>
  <si>
    <t>Your Path to a Self-Funded Plan</t>
  </si>
  <si>
    <t>This is the full path from today to go-live. Five phases, each with its own short checklist. Nothing below requires more than a click to open, and every item tells you what it is and what to expect before you need to ask.</t>
  </si>
  <si>
    <t>Jump to your checklist</t>
  </si>
  <si>
    <t xml:space="preserve">  →  HR Checklist</t>
  </si>
  <si>
    <t xml:space="preserve">       Open enrollment setup and vendor calls</t>
  </si>
  <si>
    <t xml:space="preserve">  →  Finance Checklist</t>
  </si>
  <si>
    <t xml:space="preserve">       Banking setup and funding calls</t>
  </si>
  <si>
    <t xml:space="preserve">  →  Signing Checklist</t>
  </si>
  <si>
    <t xml:space="preserve">       Every document your CFO or Authorized Signer needs</t>
  </si>
  <si>
    <t xml:space="preserve">  →  Full Roadmap</t>
  </si>
  <si>
    <t xml:space="preserve">       Everything, across every team, in one place</t>
  </si>
  <si>
    <t>HR Checklist</t>
  </si>
  <si>
    <t>Your open enrollment setup and vendor calls, in order. Once Setup is finished, click the Applicable filter above and choose Yes to hide anything that doesn't apply.</t>
  </si>
  <si>
    <t>Status</t>
  </si>
  <si>
    <t>What This Covers</t>
  </si>
  <si>
    <t>Applicable?</t>
  </si>
  <si>
    <t>Due Date</t>
  </si>
  <si>
    <t>1. KICKOFF &amp; IMPLEMENTATION CALLS</t>
  </si>
  <si>
    <t>Not Started</t>
  </si>
  <si>
    <t>3. HR WORKSTREAM - OPEN ENROLLMENT SETUP</t>
  </si>
  <si>
    <t>5. COST CONTAINMENT / SAVINGS ENGINE ENROLLMENT</t>
  </si>
  <si>
    <t>Finance Checklist</t>
  </si>
  <si>
    <t>Banking setup and funding calls. Once Setup is finished, click the Applicable filter above and choose Yes to hide anything that doesn't apply.</t>
  </si>
  <si>
    <t>2. DOCUMENTS TO SIGN</t>
  </si>
  <si>
    <t>4. FINANCE WORKSTREAM</t>
  </si>
  <si>
    <t>Signing Checklist</t>
  </si>
  <si>
    <t>Every document below is signed by your CFO or Authorized Signer. Once Setup is finished, click the Applicable filter above and choose Yes to hide anything that doesn't apply.</t>
  </si>
  <si>
    <t>Full Roadmap</t>
  </si>
  <si>
    <t>Everything in one place: calls, documents, and tasks across every team. Once Setup is finished, click the Applicable filter above and choose Yes to hide anything that doesn't apply.</t>
  </si>
  <si>
    <t>Responsible Party</t>
  </si>
  <si>
    <t>Signer</t>
  </si>
  <si>
    <t>Document &amp; Task Library  -  master content, edit here</t>
  </si>
  <si>
    <t>Source data behind every client-facing tab. Short Line is the scannable one-liner; Description / What to Expect are the full explanation, shown collapsed by default. Vendor blurbs are drafted from general public information - confirm exact scope with CCIG's vendor relationship before client use.</t>
  </si>
  <si>
    <t>ID</t>
  </si>
  <si>
    <t>Phase</t>
  </si>
  <si>
    <t>Item Name</t>
  </si>
  <si>
    <t>Type</t>
  </si>
  <si>
    <t>Applies When (Key)</t>
  </si>
  <si>
    <t>Short Line (scannable)</t>
  </si>
  <si>
    <t>Description - Why It Matters</t>
  </si>
  <si>
    <t>What to Expect</t>
  </si>
  <si>
    <t>CCIG Notes</t>
  </si>
  <si>
    <t>1. Kickoff &amp; Implementation Calls</t>
  </si>
  <si>
    <t>TPA &amp; Benefit Design Calls</t>
  </si>
  <si>
    <t>Call</t>
  </si>
  <si>
    <t>ALWAYS</t>
  </si>
  <si>
    <t>Client HR + CCIG</t>
  </si>
  <si>
    <t>Finalizes plan design and claims setup with your TPA</t>
  </si>
  <si>
    <t>Kickoff calls with the Third Party Administrator to finalize plan design, eligibility rules, and claims administration setup ahead of the effective date.</t>
  </si>
  <si>
    <t>2-4 sessions of 60-90 minutes over the first 3-4 weeks. Have current plan documents and eligibility file specs ready.</t>
  </si>
  <si>
    <t>PBM Implementation Calls</t>
  </si>
  <si>
    <t>Sets up your pharmacy formulary and member ID cards</t>
  </si>
  <si>
    <t>Implementation calls with the Pharmacy Benefit Manager to configure the formulary, prior authorization rules, and member ID cards.</t>
  </si>
  <si>
    <t>2-3 calls led by the PBM's implementation team. HR confirms member eligibility feed timing.</t>
  </si>
  <si>
    <t>Cost Containment Vendor Calls</t>
  </si>
  <si>
    <t>Kicks off each Savings Engine vendor you selected</t>
  </si>
  <si>
    <t>Individual kickoff calls with each selected Savings Engine vendor to set up enrollment, eligibility feeds, and member communications.</t>
  </si>
  <si>
    <t>One call per selected vendor, typically 30-45 minutes, scheduled across the first month.</t>
  </si>
  <si>
    <t>COBRA / FSA / HSA Calls</t>
  </si>
  <si>
    <t>Transitions COBRA and FSA/HSA administration to the new plan</t>
  </si>
  <si>
    <t>Setup calls with the COBRA administrator and FSA/HSA vendor to transition existing participants and establish new account administration.</t>
  </si>
  <si>
    <t>One call per vendor. HR provides the current COBRA participant list and FSA/HSA balances for transition.</t>
  </si>
  <si>
    <t>Banking Implementation Calls</t>
  </si>
  <si>
    <t>Client Finance + CCIG</t>
  </si>
  <si>
    <t>Sets up claims funding with your TPA and bank</t>
  </si>
  <si>
    <t>Calls with the TPA and bank to set up the claims funding account, wire/ACH authorization, and daily funding process.</t>
  </si>
  <si>
    <t>1-2 calls. Finance should have bank signer authorization ready in advance.</t>
  </si>
  <si>
    <t>Coverage Determination Calls (Optional)</t>
  </si>
  <si>
    <t>Client Finance</t>
  </si>
  <si>
    <t>Optional review of how high-cost claims will be paid</t>
  </si>
  <si>
    <t>Optional calls where Finance reviews how specific high-cost claims will be adjudicated under the new plan design.</t>
  </si>
  <si>
    <t>Scheduled only if Finance opts in on the Setup tab; typically one call.</t>
  </si>
  <si>
    <t>2. Documents to Sign</t>
  </si>
  <si>
    <t>TPA Admin Service Agreement</t>
  </si>
  <si>
    <t>Document</t>
  </si>
  <si>
    <t>Client Executive/Finance</t>
  </si>
  <si>
    <t>CFO / Authorized Signer</t>
  </si>
  <si>
    <t>The core contract governing claims administration</t>
  </si>
  <si>
    <t>The core administrative services contract with the Third Party Administrator. It governs claims processing, customer service, and reporting for the life of the agreement.</t>
  </si>
  <si>
    <t>Legal/CFO review is recommended. Typical turnaround is 5-10 business days once terms are finalized.</t>
  </si>
  <si>
    <t>Stop-Loss Quote</t>
  </si>
  <si>
    <t>Locks in your stop-loss pricing and terms</t>
  </si>
  <si>
    <t>The formal quote from the stop-loss carrier confirming premium, specific and aggregate deductibles, and contract basis (paid/incurred vs. incurred/paid).</t>
  </si>
  <si>
    <t>Signature confirms acceptance of terms and locks in pricing. Usually due within 5-10 business days of receipt to hold the rate.</t>
  </si>
  <si>
    <t>Stop-Loss Policy</t>
  </si>
  <si>
    <t>The binding policy that pays claims above deductible</t>
  </si>
  <si>
    <t>The binding insurance policy issued after the quote is accepted. This is the legal contract that pays claims above the deductible.</t>
  </si>
  <si>
    <t>Issued after the quote is signed and the plan is bound. Review against the quote for accuracy.</t>
  </si>
  <si>
    <t>PBM Master Agreement</t>
  </si>
  <si>
    <t>Governs pharmacy pricing and rebate terms</t>
  </si>
  <si>
    <t>The contract governing pharmacy claims processing, pricing guarantees, and rebate terms with the Pharmacy Benefit Manager.</t>
  </si>
  <si>
    <t>Often the longest document in the packet. CFO/Authorized Signer review is recommended before signing.</t>
  </si>
  <si>
    <t>PBM Implementation Manual</t>
  </si>
  <si>
    <t>Confirms formulary and prior authorization rules</t>
  </si>
  <si>
    <t>Operational reference confirming formulary, prior authorization criteria, and member communication timelines for go-live.</t>
  </si>
  <si>
    <t>Typically an acknowledgment signature, not a negotiated contract.</t>
  </si>
  <si>
    <t>Captive Agreement</t>
  </si>
  <si>
    <t>Governs your participation in the group captive</t>
  </si>
  <si>
    <t>The governing agreement (100+ pages) for participation in the group captive, covering member obligations, loss fund mechanics, and governance.</t>
  </si>
  <si>
    <t>The most detailed document in the packet. Budget extra review time; CCIG can walk through the key sections before signing.</t>
  </si>
  <si>
    <t>Captive Capital Invoice</t>
  </si>
  <si>
    <t>Your required capital contribution to the captive</t>
  </si>
  <si>
    <t>Invoice for the client's required capital contribution to the captive, a standard condition of participation.</t>
  </si>
  <si>
    <t>Payment due date is tied to the plan effective date. Confirm wire instructions with Finance before sending funds.</t>
  </si>
  <si>
    <t>Savings Engine Agreement - CancerCare</t>
  </si>
  <si>
    <t>Enrollment agreement with CancerCare</t>
  </si>
  <si>
    <t>Enrollment/services agreement with CancerCare, cancer care navigation and second-opinion support for members with a cancer diagnosis.</t>
  </si>
  <si>
    <t>Signature authorizes data sharing and enrollment. Turnaround varies by vendor; confirm on the vendor kickoff call.</t>
  </si>
  <si>
    <t>Savings Engine Agreement - eHealth</t>
  </si>
  <si>
    <t>Enrollment agreement with eHealth</t>
  </si>
  <si>
    <t>Enrollment/services agreement with eHealth, Medicare and ACA marketplace enrollment support, commonly used for retirees or employees losing group coverage.</t>
  </si>
  <si>
    <t>Savings Engine Agreement - First Stop Health</t>
  </si>
  <si>
    <t>Enrollment agreement with First Stop Health</t>
  </si>
  <si>
    <t>Enrollment/services agreement with First Stop Health, 24/7 virtual primary and urgent care, giving members phone or video access to a doctor.</t>
  </si>
  <si>
    <t>Savings Engine Agreement - Found</t>
  </si>
  <si>
    <t>Enrollment agreement with Found</t>
  </si>
  <si>
    <t>Enrollment/services agreement with Found, a physician-led weight management program pairing GLP-1 medication access with coaching, aimed at controlling GLP-1 drug spend.</t>
  </si>
  <si>
    <t>Savings Engine Agreement - HUSK</t>
  </si>
  <si>
    <t>Enrollment agreement with HUSK</t>
  </si>
  <si>
    <t>Enrollment/services agreement with HUSK, a wellness ecosystem covering nutrition counseling, mental health support, and incentive rewards.</t>
  </si>
  <si>
    <t>Savings Engine Agreement - Lyra Select</t>
  </si>
  <si>
    <t>Enrollment agreement with Lyra Select</t>
  </si>
  <si>
    <t>Enrollment/services agreement with Lyra Select, a mental health benefit connecting members to therapy and coaching.</t>
  </si>
  <si>
    <t>Savings Engine Agreement - The Phia Group</t>
  </si>
  <si>
    <t>Enrollment agreement with The Phia Group</t>
  </si>
  <si>
    <t>Enrollment/services agreement with The Phia Group, benefit compliance and subrogation support, helping recover costs from third parties and reduce plan liability.</t>
  </si>
  <si>
    <t>Savings Engine Agreement - Progeny Health</t>
  </si>
  <si>
    <t>Enrollment agreement with Progeny Health</t>
  </si>
  <si>
    <t>Enrollment/services agreement with Progeny Health, specialized case management for babies in the NICU, aimed at improving outcomes and controlling neonatal claim costs.</t>
  </si>
  <si>
    <t>Savings Engine Agreement - Renalogic</t>
  </si>
  <si>
    <t>Enrollment agreement with Renalogic</t>
  </si>
  <si>
    <t>Enrollment/services agreement with Renalogic, chronic kidney disease and dialysis cost management, identifying at-risk members early and steering care to lower-cost, in-network dialysis providers.</t>
  </si>
  <si>
    <t>Savings Engine Agreement - Rightway</t>
  </si>
  <si>
    <t>Enrollment agreement with Rightway</t>
  </si>
  <si>
    <t>Enrollment/services agreement with Rightway, care navigation and pharmacy guidance, helping members find in-network providers and compare costs for surgeries, imaging, and prescriptions.</t>
  </si>
  <si>
    <t>Savings Engine Agreement - SmartConnect (powered by SmartMatch)</t>
  </si>
  <si>
    <t>Enrollment agreement with SmartConnect (powered by SmartMatch)</t>
  </si>
  <si>
    <t>Enrollment/services agreement with SmartConnect (powered by SmartMatch), Medicare enrollment support that helps Medicare-eligible employees and retirees compare and enroll in Medicare plans, reducing employer plan spend for that population.</t>
  </si>
  <si>
    <t>Savings Engine Agreement - Springbuk</t>
  </si>
  <si>
    <t>Enrollment agreement with Springbuk</t>
  </si>
  <si>
    <t>Enrollment/services agreement with Springbuk, a health data analytics platform used to identify cost drivers and track plan performance.</t>
  </si>
  <si>
    <t>Savings Engine Agreement - Valenz Health</t>
  </si>
  <si>
    <t>Enrollment agreement with Valenz Health</t>
  </si>
  <si>
    <t>Enrollment/services agreement with Valenz Health, claims cost containment and repricing support, including reference-based pricing and bill review to reduce high-cost claims.</t>
  </si>
  <si>
    <t>3. HR Workstream - Open Enrollment Setup</t>
  </si>
  <si>
    <t>Build HRIS for Open Enrollment</t>
  </si>
  <si>
    <t>Task</t>
  </si>
  <si>
    <t>Client HR</t>
  </si>
  <si>
    <t>Loads new plan options and rates into your HRIS</t>
  </si>
  <si>
    <t>Configure the HR information system to reflect new plan options, rates, and eligibility rules ahead of open enrollment.</t>
  </si>
  <si>
    <t>HR-owned. CCIG provides plan design specs to support setup.</t>
  </si>
  <si>
    <t>Coordinate Open Enrollment Dates/Times</t>
  </si>
  <si>
    <t>Locks the open enrollment window and meeting schedule</t>
  </si>
  <si>
    <t>Finalize the open enrollment window and schedule employee meetings or webinars.</t>
  </si>
  <si>
    <t>Lock this in early; it drives every other communication deadline.</t>
  </si>
  <si>
    <t>Review Open Enrollment Communications &amp; Materials</t>
  </si>
  <si>
    <t>Approves employee enrollment guides and emails</t>
  </si>
  <si>
    <t>Review and approve employee-facing enrollment guides, emails, and presentation materials before distribution.</t>
  </si>
  <si>
    <t>CCIG drafts the first version; HR reviews for accuracy and tone.</t>
  </si>
  <si>
    <t>Complete Open Enrollment Eligibility File</t>
  </si>
  <si>
    <t>Submits the census file that loads member records</t>
  </si>
  <si>
    <t>Finalize and submit the eligibility census file the TPA and vendors use to load member records.</t>
  </si>
  <si>
    <t>The single most time-sensitive HR deliverable. A late file delays ID cards and vendor access for members.</t>
  </si>
  <si>
    <t>4. Finance Workstream</t>
  </si>
  <si>
    <t>Establish Bank Account for Benefits</t>
  </si>
  <si>
    <t>Opens the account that funds claims payments</t>
  </si>
  <si>
    <t>Open the dedicated bank account used to fund claims payments under the self-funded plan.</t>
  </si>
  <si>
    <t>Banks typically need 5-10 business days. Start this early.</t>
  </si>
  <si>
    <t>Review Sample Check Registers</t>
  </si>
  <si>
    <t>Confirms your claims funding and reporting format</t>
  </si>
  <si>
    <t>Review sample TPA check registers to confirm the funding and reporting format Finance will receive going forward.</t>
  </si>
  <si>
    <t>One-time review that sets up Finance's ongoing reconciliation process.</t>
  </si>
  <si>
    <t>5. Cost Containment / Savings Engine Enrollment</t>
  </si>
  <si>
    <t>Complete Enrollment - CancerCare</t>
  </si>
  <si>
    <t>Activates CancerCare for your members</t>
  </si>
  <si>
    <t>Finalize the eligibility feed and member enrollment setup with CancerCare so the solution is active for members at go-live.</t>
  </si>
  <si>
    <t>Coordinated on the vendor kickoff call above; exact timing varies by vendor.</t>
  </si>
  <si>
    <t>Complete Enrollment - eHealth</t>
  </si>
  <si>
    <t>Activates eHealth for your members</t>
  </si>
  <si>
    <t>Finalize the eligibility feed and member enrollment setup with eHealth so the solution is active for members at go-live.</t>
  </si>
  <si>
    <t>Complete Enrollment - First Stop Health</t>
  </si>
  <si>
    <t>Activates First Stop Health for your members</t>
  </si>
  <si>
    <t>Finalize the eligibility feed and member enrollment setup with First Stop Health so the solution is active for members at go-live.</t>
  </si>
  <si>
    <t>Complete Enrollment - Found</t>
  </si>
  <si>
    <t>Activates Found for your members</t>
  </si>
  <si>
    <t>Finalize the eligibility feed and member enrollment setup with Found so the solution is active for members at go-live.</t>
  </si>
  <si>
    <t>Complete Enrollment - HUSK</t>
  </si>
  <si>
    <t>Activates HUSK for your members</t>
  </si>
  <si>
    <t>Finalize the eligibility feed and member enrollment setup with HUSK so the solution is active for members at go-live.</t>
  </si>
  <si>
    <t>Complete Enrollment - Lyra Select</t>
  </si>
  <si>
    <t>Activates Lyra Select for your members</t>
  </si>
  <si>
    <t>Finalize the eligibility feed and member enrollment setup with Lyra Select so the solution is active for members at go-live.</t>
  </si>
  <si>
    <t>Complete Enrollment - The Phia Group</t>
  </si>
  <si>
    <t>Activates The Phia Group for your members</t>
  </si>
  <si>
    <t>Finalize the eligibility feed and member enrollment setup with The Phia Group so the solution is active for members at go-live.</t>
  </si>
  <si>
    <t>Complete Enrollment - Progeny Health</t>
  </si>
  <si>
    <t>Activates Progeny Health for your members</t>
  </si>
  <si>
    <t>Finalize the eligibility feed and member enrollment setup with Progeny Health so the solution is active for members at go-live.</t>
  </si>
  <si>
    <t>Complete Enrollment - Renalogic</t>
  </si>
  <si>
    <t>Activates Renalogic for your members</t>
  </si>
  <si>
    <t>Finalize the eligibility feed and member enrollment setup with Renalogic so the solution is active for members at go-live.</t>
  </si>
  <si>
    <t>Complete Enrollment - Rightway</t>
  </si>
  <si>
    <t>Activates Rightway for your members</t>
  </si>
  <si>
    <t>Finalize the eligibility feed and member enrollment setup with Rightway so the solution is active for members at go-live.</t>
  </si>
  <si>
    <t>Complete Enrollment - SmartConnect (powered by SmartMatch)</t>
  </si>
  <si>
    <t>Activates SmartConnect (powered by SmartMatch) for your members</t>
  </si>
  <si>
    <t>Finalize the eligibility feed and member enrollment setup with SmartConnect (powered by SmartMatch) so the solution is active for members at go-live.</t>
  </si>
  <si>
    <t>Complete Enrollment - Springbuk</t>
  </si>
  <si>
    <t>Activates Springbuk for your members</t>
  </si>
  <si>
    <t>Finalize the eligibility feed and member enrollment setup with Springbuk so the solution is active for members at go-live.</t>
  </si>
  <si>
    <t>Complete Enrollment - Valenz Health</t>
  </si>
  <si>
    <t>Activates Valenz Health for your members</t>
  </si>
  <si>
    <t>Finalize the eligibility feed and member enrollment setup with Valenz Health so the solution is active for members at go-live.</t>
  </si>
  <si>
    <t>Project Tracker</t>
  </si>
  <si>
    <t>Client</t>
  </si>
  <si>
    <t>SCOPE SUMMARY (applicable items only)</t>
  </si>
  <si>
    <t>Category</t>
  </si>
  <si>
    <t>Count</t>
  </si>
  <si>
    <t>Documents to Sign</t>
  </si>
  <si>
    <t>HR Calls &amp; Tasks</t>
  </si>
  <si>
    <t>Finance Calls &amp; Tasks</t>
  </si>
  <si>
    <t>STATUS ACROSS FULL ROADMAP (applicable items only)</t>
  </si>
  <si>
    <t>In Progress</t>
  </si>
  <si>
    <t>Complete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</si>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</sst>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1" x14ac:knownFonts="1">
    <font>
      <sz val="11"/>
      <color theme="1"/>
      <name val="Calibri"/>
      <family val="2"/>
      <charset val="1"/>
    </font>
    <font>
      <b/>
      <sz val="18"/>
      <color rgb="FFFFFFFF"/>
      <name val="Playfair Display"/>
      <charset val="1"/>
    </font>
    <font>
      <b/>
      <i/>
      <sz val="11"/>
      <color rgb="FF366E8E"/>
      <name val="Source Sans Pro"/>
      <charset val="1"/>
    </font>
    <font>
      <b/>
      <sz val="13"/>
      <color rgb="FF153243"/>
      <name val="Source Sans Pro"/>
      <charset val="1"/>
    </font>
    <font>
      <sz val="11"/>
      <color rgb="FF000000"/>
      <name val="Source Sans Pro"/>
      <charset val="1"/>
    </font>
    <font>
      <b/>
      <sz val="11"/>
      <color rgb="FF366E8E"/>
      <name val="Source Sans Pro"/>
      <charset val="1"/>
    </font>
    <font>
      <sz val="10"/>
      <color rgb="FF000000"/>
      <name val="Source Sans Pro"/>
      <charset val="1"/>
    </font>
    <font>
      <b/>
      <sz val="10"/>
      <color rgb="FF366E8E"/>
      <name val="Source Sans Pro"/>
      <charset val="1"/>
    </font>
    <font>
      <b/>
      <sz val="16"/>
      <color rgb="FFFFFFFF"/>
      <name val="Playfair Display"/>
      <charset val="1"/>
    </font>
    <font>
      <i/>
      <sz val="10"/>
      <color rgb="FF366E8E"/>
      <name val="Source Sans Pro"/>
      <charset val="1"/>
    </font>
    <font>
      <b/>
      <sz val="11"/>
      <color rgb="FF000000"/>
      <name val="Source Sans Pro"/>
      <charset val="1"/>
    </font>
    <font>
      <b/>
      <sz val="12"/>
      <color rgb="FFFFFFFF"/>
      <name val="Source Sans Pro"/>
      <charset val="1"/>
    </font>
    <font>
      <b/>
      <sz val="10"/>
      <color rgb="FFFFFFFF"/>
      <name val="Source Sans Pro"/>
      <charset val="1"/>
    </font>
    <font>
      <i/>
      <sz val="9"/>
      <color rgb="FFBFC7CB"/>
      <name val="Source Sans Pro"/>
      <charset val="1"/>
    </font>
    <font>
      <sz val="12"/>
      <color rgb="FF000000"/>
      <name val="Source Sans Pro"/>
      <charset val="1"/>
    </font>
    <font>
      <b/>
      <sz val="13"/>
      <color rgb="FFFFFFFF"/>
      <name val="Source Sans Pro"/>
      <charset val="1"/>
    </font>
    <font>
      <i/>
      <sz val="10"/>
      <color rgb="FFBFC7CB"/>
      <name val="Source Sans Pro"/>
      <charset val="1"/>
    </font>
    <font>
      <b/>
      <sz val="10"/>
      <color rgb="FF000000"/>
      <name val="Source Sans Pro"/>
      <charset val="1"/>
    </font>
    <font>
      <i/>
      <sz val="9"/>
      <color rgb="FF366E8E"/>
      <name val="Source Sans Pro"/>
      <charset val="1"/>
    </font>
    <font>
      <sz val="9"/>
      <color rgb="FF000000"/>
      <name val="Source Sans Pro"/>
      <charset val="1"/>
    </font>
    <font>
      <b/>
      <sz val="15"/>
      <color rgb="FFFFFFFF"/>
      <name val="Playfair Display"/>
      <charset val="1"/>
    </font>
  </fonts>
  <fills count="8">
    <fill>
      <patternFill patternType="none"/>
    </fill>
    <fill>
      <patternFill patternType="gray125"/>
    </fill>
    <fill>
      <patternFill patternType="solid">
        <fgColor rgb="FF153243"/>
        <bgColor rgb="FF333333"/>
      </patternFill>
    </fill>
    <fill>
      <patternFill patternType="solid">
        <fgColor rgb="FFFFC666"/>
        <bgColor rgb="FFFFCC00"/>
      </patternFill>
    </fill>
    <fill>
      <patternFill patternType="solid">
        <fgColor rgb="FFEDECED"/>
        <bgColor rgb="FFFFFFFF"/>
      </patternFill>
    </fill>
    <fill>
      <patternFill patternType="solid">
        <fgColor rgb="FF366E8E"/>
        <bgColor rgb="FF008080"/>
      </patternFill>
    </fill>
    <fill>
      <patternFill patternType="solid">
        <fgColor rgb="FFBFC7CB"/>
        <bgColor rgb="FFCCCCFF"/>
      </patternFill>
    </fill>
    <fill>
      <patternFill patternType="solid">
        <fgColor rgb="FF8FB24E"/>
        <bgColor rgb="FF99CC00"/>
      </patternFill>
    </fill>
  </fills>
  <borders count="3">
    <border>
      <left/>
      <right/>
      <top/>
      <bottom/>
      <diagonal/>
    </border>
    <border>
      <left style="thin">
        <color rgb="FFBFC7CB"/>
      </left>
      <right style="thin">
        <color rgb="FFBFC7CB"/>
      </right>
      <top style="thin">
        <color rgb="FFBFC7CB"/>
      </top>
      <bottom style="thin">
        <color rgb="FFBFC7CB"/>
      </bottom>
      <diagonal/>
    </border>
    <border>
      <left style="thin">
        <color rgb="FFBFC7CB"/>
      </left>
      <right/>
      <top style="thin">
        <color rgb="FFBFC7CB"/>
      </top>
      <bottom style="thin">
        <color rgb="FFBFC7CB"/>
      </bottom>
      <diagonal/>
    </border>
  </borders>
  <cellStyleXfs count="1">
    <xf numFmtId="0" fontId="0" fillId="0" borderId="0"/>
  </cellStyleXfs>
  <cellXfs count="56">
    <xf numFmtId="0" fontId="0" fillId="0" borderId="0" xfId="0"/>
    <xf numFmtId="0" fontId="15" fillId="3" borderId="0" xfId="0" applyFont="1" applyFill="1" applyAlignment="1">
      <alignment vertical="center" indent="1"/>
    </xf>
    <xf numFmtId="0" fontId="15" fillId="7" borderId="0" xfId="0" applyFont="1" applyFill="1" applyAlignment="1">
      <alignment vertical="center" indent="1"/>
    </xf>
    <xf numFmtId="0" fontId="16" fillId="0" borderId="0" xfId="0" applyFont="1"/>
    <xf numFmtId="0" fontId="15" fillId="5" borderId="0" xfId="0" applyFont="1" applyFill="1" applyAlignment="1">
      <alignment vertical="center" indent="1"/>
    </xf>
    <xf numFmtId="0" fontId="14" fillId="0" borderId="0" xfId="0" applyFont="1" applyAlignment="1">
      <alignment vertical="top" wrapText="1"/>
    </xf>
    <xf numFmtId="0" fontId="5" fillId="0" borderId="0" xfId="0" applyFont="1"/>
    <xf numFmtId="0" fontId="11" fillId="6" borderId="0" xfId="0" applyFont="1" applyFill="1" applyAlignment="1">
      <alignment horizontal="left" vertical="center" indent="1"/>
    </xf>
    <xf numFmtId="0" fontId="11" fillId="5" borderId="0" xfId="0" applyFont="1" applyFill="1" applyAlignment="1">
      <alignment horizontal="left" vertical="center" indent="1"/>
    </xf>
    <xf numFmtId="0" fontId="8" fillId="2" borderId="0" xfId="0" applyFont="1" applyFill="1" applyAlignment="1">
      <alignment horizontal="left" vertical="center" indent="1"/>
    </xf>
    <xf numFmtId="0" fontId="6" fillId="0" borderId="0" xfId="0" applyFont="1" applyAlignment="1">
      <alignment wrapText="1"/>
    </xf>
    <xf numFmtId="0" fontId="6" fillId="0" borderId="0" xfId="0" applyFont="1"/>
    <xf numFmtId="0" fontId="6" fillId="0" borderId="0" xfId="0" applyFont="1" applyAlignment="1">
      <alignment vertical="top" wrapText="1"/>
    </xf>
    <xf numFmtId="0" fontId="4" fillId="0" borderId="0" xfId="0" applyFont="1" applyAlignment="1">
      <alignment vertical="top" wrapText="1"/>
    </xf>
    <xf numFmtId="0" fontId="1" fillId="2" borderId="0" xfId="0" applyFont="1" applyFill="1" applyAlignment="1">
      <alignment horizontal="left" vertical="center" indent="1"/>
    </xf>
    <xf numFmtId="0" fontId="2" fillId="0" borderId="0" xfId="0" applyFont="1"/>
    <xf numFmtId="0" fontId="3" fillId="0" borderId="0" xfId="0" applyFont="1"/>
    <xf numFmtId="0" fontId="5" fillId="0" borderId="0" xfId="0" applyFont="1"/>
    <xf numFmtId="0" fontId="0" fillId="3" borderId="0" xfId="0" applyFill="1"/>
    <xf numFmtId="0" fontId="0" fillId="4" borderId="0" xfId="0" applyFill="1"/>
    <xf numFmtId="0" fontId="7" fillId="0" borderId="0" xfId="0" applyFont="1"/>
    <xf numFmtId="0" fontId="9" fillId="0" borderId="0" xfId="0" applyFont="1"/>
    <xf numFmtId="0" fontId="10" fillId="0" borderId="0" xfId="0" applyFont="1"/>
    <xf numFmtId="0" fontId="4" fillId="3" borderId="1" xfId="0" applyFont="1" applyFill="1" applyBorder="1"/>
    <xf numFmtId="164" fontId="4" fillId="3" borderId="1" xfId="0" applyNumberFormat="1" applyFont="1" applyFill="1" applyBorder="1"/>
    <xf numFmtId="0" fontId="12" fillId="2" borderId="1" xfId="0" applyFont="1" applyFill="1" applyBorder="1"/>
    <xf numFmtId="0" fontId="13" fillId="0" borderId="1" xfId="0" applyFont="1" applyBorder="1" applyAlignment="1">
      <alignment horizontal="left" indent="1"/>
    </xf>
    <xf numFmtId="0" fontId="6" fillId="0" borderId="1" xfId="0" applyFont="1" applyBorder="1" applyAlignment="1">
      <alignment vertical="center" wrapText="1"/>
    </xf>
    <xf numFmtId="0" fontId="6" fillId="3" borderId="1" xfId="0" applyFont="1" applyFill="1" applyBorder="1" applyAlignment="1">
      <alignment horizontal="center"/>
    </xf>
    <xf numFmtId="0" fontId="9" fillId="0" borderId="1" xfId="0" applyFont="1" applyBorder="1" applyAlignment="1">
      <alignment horizontal="center"/>
    </xf>
    <xf numFmtId="0" fontId="12" fillId="2" borderId="1" xfId="0" applyFont="1" applyFill="1" applyBorder="1" applyAlignment="1">
      <alignment vertical="center" indent="1"/>
    </xf>
    <xf numFmtId="0" fontId="6" fillId="3" borderId="1" xfId="0" applyFont="1" applyFill="1" applyBorder="1"/>
    <xf numFmtId="0" fontId="17" fillId="0" borderId="1" xfId="0" applyFont="1" applyBorder="1" applyAlignment="1">
      <alignment vertical="center" wrapText="1"/>
    </xf>
    <xf numFmtId="0" fontId="6" fillId="0" borderId="1" xfId="0" applyFont="1" applyBorder="1" applyAlignment="1">
      <alignment horizontal="center" vertical="center"/>
    </xf>
    <xf numFmtId="164" fontId="0" fillId="3" borderId="1" xfId="0" applyNumberFormat="1" applyFill="1" applyBorder="1"/>
    <xf numFmtId="0" fontId="0" fillId="0" borderId="1" xfId="0" applyBorder="1"/>
    <xf numFmtId="0" fontId="19" fillId="0" borderId="1" xfId="0" applyFont="1" applyBorder="1" applyAlignment="1">
      <alignment vertical="center" wrapText="1"/>
    </xf>
    <xf numFmtId="0" fontId="12" fillId="2" borderId="1" xfId="0" applyFont="1" applyFill="1" applyBorder="1" applyAlignment="1">
      <alignment horizontal="left" vertical="center" wrapText="1" indent="1"/>
    </xf>
    <xf numFmtId="0" fontId="6" fillId="0" borderId="1" xfId="0" applyFont="1" applyBorder="1" applyAlignment="1">
      <alignment horizontal="center" vertical="top"/>
    </xf>
    <xf numFmtId="0" fontId="6" fillId="0" borderId="1" xfId="0" applyFont="1" applyBorder="1" applyAlignment="1">
      <alignment horizontal="left" vertical="top" wrapText="1"/>
    </xf>
    <xf numFmtId="0" fontId="6" fillId="0" borderId="1" xfId="0" applyFont="1" applyBorder="1" applyAlignment="1">
      <alignment horizontal="left" vertical="top"/>
    </xf>
    <xf numFmtId="0" fontId="6" fillId="3" borderId="1" xfId="0" applyFont="1" applyFill="1" applyBorder="1" applyAlignment="1">
      <alignment horizontal="left" vertical="top" wrapText="1"/>
    </xf>
    <xf numFmtId="0" fontId="6" fillId="4" borderId="1" xfId="0" applyFont="1" applyFill="1" applyBorder="1" applyAlignment="1">
      <alignment horizontal="center" vertical="top"/>
    </xf>
    <xf numFmtId="0" fontId="6" fillId="4" borderId="1" xfId="0" applyFont="1" applyFill="1" applyBorder="1" applyAlignment="1">
      <alignment horizontal="left" vertical="top" wrapText="1"/>
    </xf>
    <xf numFmtId="0" fontId="6" fillId="4" borderId="1" xfId="0" applyFont="1" applyFill="1" applyBorder="1" applyAlignment="1">
      <alignment horizontal="left" vertical="top"/>
    </xf>
    <xf numFmtId="0" fontId="6" fillId="0" borderId="1" xfId="0" applyFont="1" applyBorder="1"/>
    <xf numFmtId="0" fontId="7" fillId="0" borderId="1" xfId="0" applyFont="1" applyBorder="1" applyAlignment="1">
      <alignment horizontal="center"/>
    </xf>
    <xf numFmtId="0" fontId="15" fillId="2" borderId="0" xfId="0" applyFont="1" applyFill="1" applyAlignment="1">
      <alignment vertical="center" indent="1"/>
    </xf>
    <xf numFmtId="0" fontId="13" fillId="0" borderId="0" xfId="0" applyFont="1"/>
    <xf numFmtId="0" fontId="18" fillId="0" borderId="2" xfId="0" applyFont="1" applyBorder="1" applyAlignment="1">
      <alignment vertical="top" wrapText="1" indent="1"/>
    </xf>
    <xf numFmtId="0" fontId="11" fillId="7" borderId="0" xfId="0" applyFont="1" applyFill="1" applyAlignment="1">
      <alignment horizontal="left" vertical="center" indent="1"/>
    </xf>
    <xf numFmtId="0" fontId="11" fillId="3" borderId="0" xfId="0" applyFont="1" applyFill="1" applyAlignment="1">
      <alignment horizontal="left" vertical="center" indent="1"/>
    </xf>
    <xf numFmtId="0" fontId="11" fillId="2" borderId="0" xfId="0" applyFont="1" applyFill="1" applyAlignment="1">
      <alignment horizontal="left" vertical="center" indent="1"/>
    </xf>
    <xf numFmtId="0" fontId="20" fillId="2" borderId="0" xfId="0" applyFont="1" applyFill="1" applyAlignment="1">
      <alignment horizontal="left" vertical="center" indent="1"/>
    </xf>
    <xf numFmtId="0" fontId="18" fillId="0" borderId="0" xfId="0" applyFont="1" applyAlignment="1">
      <alignment wrapText="1"/>
    </xf>
    <xf numFmtId="0" fontId="4" fillId="0" borderId="0" xfId="0" applyFont="1"/>
  </cellXfs>
  <cellStyles count="1">
    <cellStyle name="Normal" xfId="0" builtinId="0"/>
  </cellStyles>
  <dxfs count="12">
    <dxf>
      <font>
        <i/>
        <sz val="10"/>
        <color rgb="FFBFC7CB"/>
        <name val="Source Sans Pro"/>
        <charset val="1"/>
      </font>
      <fill>
        <patternFill>
          <bgColor rgb="FFEDECED"/>
        </patternFill>
      </fill>
    </dxf>
    <dxf>
      <fill>
        <patternFill>
          <bgColor rgb="FFFFC666"/>
        </patternFill>
      </fill>
    </dxf>
    <dxf>
      <fill>
        <patternFill>
          <bgColor rgb="FF8FB24E"/>
        </patternFill>
      </fill>
    </dxf>
    <dxf>
      <font>
        <i/>
        <sz val="10"/>
        <color rgb="FFBFC7CB"/>
        <name val="Source Sans Pro"/>
        <charset val="1"/>
      </font>
      <fill>
        <patternFill>
          <bgColor rgb="FFEDECED"/>
        </patternFill>
      </fill>
    </dxf>
    <dxf>
      <fill>
        <patternFill>
          <bgColor rgb="FFFFC666"/>
        </patternFill>
      </fill>
    </dxf>
    <dxf>
      <fill>
        <patternFill>
          <bgColor rgb="FF8FB24E"/>
        </patternFill>
      </fill>
    </dxf>
    <dxf>
      <font>
        <i/>
        <sz val="10"/>
        <color rgb="FFBFC7CB"/>
        <name val="Source Sans Pro"/>
        <charset val="1"/>
      </font>
      <fill>
        <patternFill>
          <bgColor rgb="FFEDECED"/>
        </patternFill>
      </fill>
    </dxf>
    <dxf>
      <fill>
        <patternFill>
          <bgColor rgb="FFFFC666"/>
        </patternFill>
      </fill>
    </dxf>
    <dxf>
      <fill>
        <patternFill>
          <bgColor rgb="FF8FB24E"/>
        </patternFill>
      </fill>
    </dxf>
    <dxf>
      <font>
        <i/>
        <sz val="10"/>
        <color rgb="FFBFC7CB"/>
        <name val="Source Sans Pro"/>
        <charset val="1"/>
      </font>
      <fill>
        <patternFill>
          <bgColor rgb="FFEDECED"/>
        </patternFill>
      </fill>
    </dxf>
    <dxf>
      <fill>
        <patternFill>
          <bgColor rgb="FFFFC666"/>
        </patternFill>
      </fill>
    </dxf>
    <dxf>
      <fill>
        <patternFill>
          <bgColor rgb="FF8FB24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7CB"/>
      <rgbColor rgb="FF808080"/>
      <rgbColor rgb="FF9999FF"/>
      <rgbColor rgb="FF993366"/>
      <rgbColor rgb="FFEDEC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666"/>
      <rgbColor rgb="FF3366FF"/>
      <rgbColor rgb="FF33CCCC"/>
      <rgbColor rgb="FF99CC00"/>
      <rgbColor rgb="FFFFCC00"/>
      <rgbColor rgb="FFFF9900"/>
      <rgbColor rgb="FFFF6600"/>
      <rgbColor rgb="FF366E8E"/>
      <rgbColor rgb="FF8FB24E"/>
      <rgbColor rgb="FF153243"/>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182520</xdr:colOff>
      <xdr:row>11</xdr:row>
      <xdr:rowOff>171000</xdr:rowOff>
    </xdr:to>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211320" y="781200"/>
          <a:ext cx="8572320" cy="19998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file:///C:\Users\Nick.Kokat\AppData\Local\Microsoft\Olk\Attachments\ooa-966968d4-3dbf-401e-a747-e3b32279b0b1\fcfbb947fc3227c9d574bf838c43c3bd09869d316a29cb44024759b676d3493a\tool2.xlsx" TargetMode="External"/><Relationship Id="rId2" Type="http://schemas.openxmlformats.org/officeDocument/2006/relationships/hyperlink" Target="file:///C:\Users\Nick.Kokat\AppData\Local\Microsoft\Olk\Attachments\ooa-966968d4-3dbf-401e-a747-e3b32279b0b1\fcfbb947fc3227c9d574bf838c43c3bd09869d316a29cb44024759b676d3493a\tool2.xlsx" TargetMode="External"/><Relationship Id="rId1" Type="http://schemas.openxmlformats.org/officeDocument/2006/relationships/hyperlink" Target="file:///C:\Users\Nick.Kokat\AppData\Local\Microsoft\Olk\Attachments\ooa-966968d4-3dbf-401e-a747-e3b32279b0b1\fcfbb947fc3227c9d574bf838c43c3bd09869d316a29cb44024759b676d3493a\tool2.xlsx" TargetMode="External"/><Relationship Id="rId5" Type="http://schemas.openxmlformats.org/officeDocument/2006/relationships/drawing" Target="../drawings/drawing1.xml"/><Relationship Id="rId4" Type="http://schemas.openxmlformats.org/officeDocument/2006/relationships/hyperlink" Target="file:///C:\Users\Nick.Kokat\AppData\Local\Microsoft\Olk\Attachments\ooa-966968d4-3dbf-401e-a747-e3b32279b0b1\fcfbb947fc3227c9d574bf838c43c3bd09869d316a29cb44024759b676d3493a\tool2.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C7CB"/>
    <pageSetUpPr fitToPage="1"/>
  </sheetPr>
  <dimension ref="A1:E25"/>
  <sheetViews>
    <sheetView showGridLines="0" tabSelected="1" zoomScaleNormal="100" workbookViewId="0">
      <selection sqref="A1:E1"/>
    </sheetView>
  </sheetViews>
  <sheetFormatPr defaultColWidth="8.6328125" defaultRowHeight="14.5" x14ac:dyDescent="0.35"/>
  <cols>
    <col min="1" max="1" width="3" customWidth="1"/>
    <col min="2" max="4" width="32" customWidth="1"/>
    <col min="5" max="5" width="3" customWidth="1"/>
  </cols>
  <sheetData>
    <row r="1" spans="1:5" ht="33.75" customHeight="1" x14ac:dyDescent="0.35">
      <c r="A1" s="14" t="s">
        <v>0</v>
      </c>
      <c r="B1" s="14"/>
      <c r="C1" s="14"/>
      <c r="D1" s="14"/>
      <c r="E1" s="14"/>
    </row>
    <row r="2" spans="1:5" ht="16" x14ac:dyDescent="0.5">
      <c r="B2" s="15" t="s">
        <v>1</v>
      </c>
    </row>
    <row r="4" spans="1:5" ht="19.5" x14ac:dyDescent="0.6">
      <c r="B4" s="16" t="s">
        <v>2</v>
      </c>
    </row>
    <row r="5" spans="1:5" ht="19.5" customHeight="1" x14ac:dyDescent="0.35">
      <c r="B5" s="13" t="s">
        <v>3</v>
      </c>
      <c r="C5" s="13"/>
      <c r="D5" s="13"/>
    </row>
    <row r="6" spans="1:5" ht="19.5" customHeight="1" x14ac:dyDescent="0.35">
      <c r="B6" s="13"/>
      <c r="C6" s="13"/>
      <c r="D6" s="13"/>
    </row>
    <row r="7" spans="1:5" ht="19.5" customHeight="1" x14ac:dyDescent="0.35">
      <c r="B7" s="13"/>
      <c r="C7" s="13"/>
      <c r="D7" s="13"/>
    </row>
    <row r="8" spans="1:5" ht="19.5" customHeight="1" x14ac:dyDescent="0.35">
      <c r="B8" s="13"/>
      <c r="C8" s="13"/>
      <c r="D8" s="13"/>
    </row>
    <row r="10" spans="1:5" ht="19.5" x14ac:dyDescent="0.6">
      <c r="B10" s="16" t="s">
        <v>4</v>
      </c>
    </row>
    <row r="11" spans="1:5" ht="45.75" customHeight="1" x14ac:dyDescent="0.5">
      <c r="B11" s="17" t="s">
        <v>5</v>
      </c>
      <c r="C11" s="12" t="s">
        <v>6</v>
      </c>
      <c r="D11" s="12"/>
    </row>
    <row r="12" spans="1:5" ht="45.75" customHeight="1" x14ac:dyDescent="0.5">
      <c r="B12" s="17" t="s">
        <v>7</v>
      </c>
      <c r="C12" s="12" t="s">
        <v>8</v>
      </c>
      <c r="D12" s="12"/>
    </row>
    <row r="13" spans="1:5" ht="45.75" customHeight="1" x14ac:dyDescent="0.5">
      <c r="B13" s="17" t="s">
        <v>9</v>
      </c>
      <c r="C13" s="12" t="s">
        <v>10</v>
      </c>
      <c r="D13" s="12"/>
    </row>
    <row r="14" spans="1:5" ht="45.75" customHeight="1" x14ac:dyDescent="0.5">
      <c r="B14" s="17" t="s">
        <v>11</v>
      </c>
      <c r="C14" s="12" t="s">
        <v>12</v>
      </c>
      <c r="D14" s="12"/>
    </row>
    <row r="15" spans="1:5" ht="45.75" customHeight="1" x14ac:dyDescent="0.5">
      <c r="B15" s="17" t="s">
        <v>13</v>
      </c>
      <c r="C15" s="12" t="s">
        <v>14</v>
      </c>
      <c r="D15" s="12"/>
    </row>
    <row r="16" spans="1:5" ht="45.75" customHeight="1" x14ac:dyDescent="0.5">
      <c r="B16" s="17" t="s">
        <v>15</v>
      </c>
      <c r="C16" s="12" t="s">
        <v>16</v>
      </c>
      <c r="D16" s="12"/>
    </row>
    <row r="18" spans="2:4" ht="19.5" x14ac:dyDescent="0.6">
      <c r="B18" s="16" t="s">
        <v>17</v>
      </c>
    </row>
    <row r="19" spans="2:4" ht="15.5" x14ac:dyDescent="0.45">
      <c r="B19" s="18" t="s">
        <v>18</v>
      </c>
      <c r="C19" s="11" t="s">
        <v>19</v>
      </c>
      <c r="D19" s="11"/>
    </row>
    <row r="20" spans="2:4" ht="23.9" customHeight="1" x14ac:dyDescent="0.45">
      <c r="B20" s="19" t="s">
        <v>18</v>
      </c>
      <c r="C20" s="10" t="s">
        <v>20</v>
      </c>
      <c r="D20" s="10"/>
    </row>
    <row r="21" spans="2:4" ht="15.5" x14ac:dyDescent="0.45">
      <c r="B21" s="20" t="s">
        <v>21</v>
      </c>
      <c r="C21" s="11" t="s">
        <v>22</v>
      </c>
      <c r="D21" s="11"/>
    </row>
    <row r="23" spans="2:4" ht="19.5" x14ac:dyDescent="0.6">
      <c r="B23" s="16" t="s">
        <v>23</v>
      </c>
    </row>
    <row r="24" spans="2:4" ht="15" customHeight="1" x14ac:dyDescent="0.35">
      <c r="B24" s="12" t="s">
        <v>24</v>
      </c>
      <c r="C24" s="12"/>
      <c r="D24" s="12"/>
    </row>
    <row r="25" spans="2:4" x14ac:dyDescent="0.35">
      <c r="B25" s="12"/>
      <c r="C25" s="12"/>
      <c r="D25" s="12"/>
    </row>
  </sheetData>
  <mergeCells count="12">
    <mergeCell ref="C21:D21"/>
    <mergeCell ref="B24:D25"/>
    <mergeCell ref="C14:D14"/>
    <mergeCell ref="C15:D15"/>
    <mergeCell ref="C16:D16"/>
    <mergeCell ref="C19:D19"/>
    <mergeCell ref="C20:D20"/>
    <mergeCell ref="A1:E1"/>
    <mergeCell ref="B5:D8"/>
    <mergeCell ref="C11:D11"/>
    <mergeCell ref="C12:D12"/>
    <mergeCell ref="C13:D13"/>
  </mergeCells>
  <pageMargins left="0.4" right="0.4" top="0.5" bottom="0.5"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53243"/>
    <pageSetUpPr fitToPage="1"/>
  </sheetPr>
  <dimension ref="A1:D38"/>
  <sheetViews>
    <sheetView showGridLines="0" zoomScaleNormal="100" workbookViewId="0">
      <pane ySplit="1" topLeftCell="A2" activePane="bottomLeft" state="frozen"/>
      <selection pane="bottomLeft"/>
    </sheetView>
  </sheetViews>
  <sheetFormatPr defaultColWidth="8.6328125" defaultRowHeight="14.5" x14ac:dyDescent="0.35"/>
  <cols>
    <col min="1" max="1" width="3" customWidth="1"/>
    <col min="2" max="2" width="22" customWidth="1"/>
    <col min="3" max="3" width="46" customWidth="1"/>
    <col min="4" max="4" width="14" customWidth="1"/>
    <col min="5" max="5" width="3" customWidth="1"/>
  </cols>
  <sheetData>
    <row r="1" spans="1:4" ht="30" customHeight="1" x14ac:dyDescent="0.35">
      <c r="A1" s="9" t="s">
        <v>25</v>
      </c>
      <c r="B1" s="9"/>
      <c r="C1" s="9"/>
      <c r="D1" s="9"/>
    </row>
    <row r="2" spans="1:4" ht="15.5" x14ac:dyDescent="0.45">
      <c r="B2" s="21" t="s">
        <v>26</v>
      </c>
    </row>
    <row r="4" spans="1:4" ht="16" x14ac:dyDescent="0.5">
      <c r="B4" s="22" t="s">
        <v>27</v>
      </c>
      <c r="C4" s="23" t="s">
        <v>28</v>
      </c>
    </row>
    <row r="5" spans="1:4" ht="16" x14ac:dyDescent="0.5">
      <c r="B5" s="22" t="s">
        <v>29</v>
      </c>
      <c r="C5" s="24"/>
    </row>
    <row r="6" spans="1:4" ht="16" x14ac:dyDescent="0.5">
      <c r="B6" s="22" t="s">
        <v>30</v>
      </c>
      <c r="C6" s="23" t="s">
        <v>31</v>
      </c>
    </row>
    <row r="7" spans="1:4" ht="16" x14ac:dyDescent="0.5">
      <c r="B7" s="22" t="s">
        <v>32</v>
      </c>
      <c r="C7" s="24"/>
    </row>
    <row r="8" spans="1:4" ht="16" x14ac:dyDescent="0.5">
      <c r="B8" s="22" t="s">
        <v>33</v>
      </c>
      <c r="C8" s="23" t="s">
        <v>34</v>
      </c>
    </row>
    <row r="10" spans="1:4" ht="21.75" customHeight="1" x14ac:dyDescent="0.35">
      <c r="A10" s="8" t="s">
        <v>35</v>
      </c>
      <c r="B10" s="8"/>
      <c r="C10" s="8"/>
      <c r="D10" s="8"/>
    </row>
    <row r="11" spans="1:4" ht="15.5" x14ac:dyDescent="0.45">
      <c r="B11" s="25" t="s">
        <v>36</v>
      </c>
      <c r="C11" s="25" t="s">
        <v>37</v>
      </c>
      <c r="D11" s="25" t="s">
        <v>38</v>
      </c>
    </row>
    <row r="12" spans="1:4" ht="15.5" x14ac:dyDescent="0.45">
      <c r="B12" s="26" t="s">
        <v>39</v>
      </c>
      <c r="C12" s="27" t="s">
        <v>40</v>
      </c>
      <c r="D12" s="28" t="s">
        <v>41</v>
      </c>
    </row>
    <row r="13" spans="1:4" ht="15.5" x14ac:dyDescent="0.45">
      <c r="B13" s="26" t="s">
        <v>42</v>
      </c>
      <c r="C13" s="27" t="s">
        <v>43</v>
      </c>
      <c r="D13" s="28" t="s">
        <v>41</v>
      </c>
    </row>
    <row r="14" spans="1:4" ht="15.5" x14ac:dyDescent="0.45">
      <c r="B14" s="26" t="s">
        <v>44</v>
      </c>
      <c r="C14" s="27" t="s">
        <v>45</v>
      </c>
      <c r="D14" s="28" t="s">
        <v>41</v>
      </c>
    </row>
    <row r="15" spans="1:4" ht="15.5" x14ac:dyDescent="0.45">
      <c r="B15" s="26" t="s">
        <v>46</v>
      </c>
      <c r="C15" s="27" t="s">
        <v>47</v>
      </c>
      <c r="D15" s="28" t="s">
        <v>48</v>
      </c>
    </row>
    <row r="17" spans="1:4" ht="21.75" customHeight="1" x14ac:dyDescent="0.35">
      <c r="A17" s="8" t="s">
        <v>49</v>
      </c>
      <c r="B17" s="8"/>
      <c r="C17" s="8"/>
      <c r="D17" s="8"/>
    </row>
    <row r="18" spans="1:4" ht="15.5" x14ac:dyDescent="0.45">
      <c r="B18" s="25" t="s">
        <v>36</v>
      </c>
      <c r="C18" s="25" t="s">
        <v>50</v>
      </c>
      <c r="D18" s="25" t="s">
        <v>38</v>
      </c>
    </row>
    <row r="19" spans="1:4" ht="15.5" x14ac:dyDescent="0.45">
      <c r="B19" s="26" t="s">
        <v>51</v>
      </c>
      <c r="C19" s="27" t="s">
        <v>52</v>
      </c>
      <c r="D19" s="28" t="s">
        <v>48</v>
      </c>
    </row>
    <row r="20" spans="1:4" ht="15.5" x14ac:dyDescent="0.45">
      <c r="B20" s="26" t="s">
        <v>53</v>
      </c>
      <c r="C20" s="27" t="s">
        <v>54</v>
      </c>
      <c r="D20" s="28" t="s">
        <v>48</v>
      </c>
    </row>
    <row r="21" spans="1:4" ht="15.5" x14ac:dyDescent="0.45">
      <c r="B21" s="26" t="s">
        <v>55</v>
      </c>
      <c r="C21" s="27" t="s">
        <v>56</v>
      </c>
      <c r="D21" s="28" t="s">
        <v>48</v>
      </c>
    </row>
    <row r="22" spans="1:4" ht="15.5" x14ac:dyDescent="0.45">
      <c r="B22" s="26" t="s">
        <v>57</v>
      </c>
      <c r="C22" s="27" t="s">
        <v>58</v>
      </c>
      <c r="D22" s="28" t="s">
        <v>48</v>
      </c>
    </row>
    <row r="23" spans="1:4" ht="15.5" x14ac:dyDescent="0.45">
      <c r="B23" s="26" t="s">
        <v>59</v>
      </c>
      <c r="C23" s="27" t="s">
        <v>60</v>
      </c>
      <c r="D23" s="28" t="s">
        <v>48</v>
      </c>
    </row>
    <row r="24" spans="1:4" ht="15.5" x14ac:dyDescent="0.45">
      <c r="B24" s="26" t="s">
        <v>61</v>
      </c>
      <c r="C24" s="27" t="s">
        <v>62</v>
      </c>
      <c r="D24" s="28" t="s">
        <v>48</v>
      </c>
    </row>
    <row r="25" spans="1:4" ht="15.5" x14ac:dyDescent="0.45">
      <c r="B25" s="26" t="s">
        <v>63</v>
      </c>
      <c r="C25" s="27" t="s">
        <v>64</v>
      </c>
      <c r="D25" s="28" t="s">
        <v>48</v>
      </c>
    </row>
    <row r="26" spans="1:4" ht="15.5" x14ac:dyDescent="0.45">
      <c r="B26" s="26" t="s">
        <v>65</v>
      </c>
      <c r="C26" s="27" t="s">
        <v>66</v>
      </c>
      <c r="D26" s="28" t="s">
        <v>48</v>
      </c>
    </row>
    <row r="27" spans="1:4" ht="15.5" x14ac:dyDescent="0.45">
      <c r="B27" s="26" t="s">
        <v>67</v>
      </c>
      <c r="C27" s="27" t="s">
        <v>68</v>
      </c>
      <c r="D27" s="28" t="s">
        <v>48</v>
      </c>
    </row>
    <row r="28" spans="1:4" ht="15.5" x14ac:dyDescent="0.45">
      <c r="B28" s="26" t="s">
        <v>69</v>
      </c>
      <c r="C28" s="27" t="s">
        <v>70</v>
      </c>
      <c r="D28" s="28" t="s">
        <v>48</v>
      </c>
    </row>
    <row r="29" spans="1:4" ht="29" x14ac:dyDescent="0.45">
      <c r="B29" s="26" t="s">
        <v>71</v>
      </c>
      <c r="C29" s="27" t="s">
        <v>72</v>
      </c>
      <c r="D29" s="28" t="s">
        <v>48</v>
      </c>
    </row>
    <row r="30" spans="1:4" ht="15.5" x14ac:dyDescent="0.45">
      <c r="B30" s="26" t="s">
        <v>73</v>
      </c>
      <c r="C30" s="27" t="s">
        <v>74</v>
      </c>
      <c r="D30" s="28" t="s">
        <v>48</v>
      </c>
    </row>
    <row r="31" spans="1:4" ht="15.5" x14ac:dyDescent="0.45">
      <c r="B31" s="26" t="s">
        <v>75</v>
      </c>
      <c r="C31" s="27" t="s">
        <v>76</v>
      </c>
      <c r="D31" s="28" t="s">
        <v>48</v>
      </c>
    </row>
    <row r="33" spans="1:4" ht="21.75" customHeight="1" x14ac:dyDescent="0.35">
      <c r="A33" s="8" t="s">
        <v>77</v>
      </c>
      <c r="B33" s="8"/>
      <c r="C33" s="8"/>
      <c r="D33" s="8"/>
    </row>
    <row r="34" spans="1:4" ht="15.5" x14ac:dyDescent="0.45">
      <c r="B34" s="25" t="s">
        <v>36</v>
      </c>
      <c r="C34" s="25" t="s">
        <v>78</v>
      </c>
      <c r="D34" s="25" t="s">
        <v>38</v>
      </c>
    </row>
    <row r="35" spans="1:4" ht="15.5" x14ac:dyDescent="0.45">
      <c r="B35" s="26" t="s">
        <v>79</v>
      </c>
      <c r="C35" s="27" t="s">
        <v>80</v>
      </c>
      <c r="D35" s="28" t="s">
        <v>48</v>
      </c>
    </row>
    <row r="37" spans="1:4" ht="21.75" customHeight="1" x14ac:dyDescent="0.35">
      <c r="A37" s="7" t="s">
        <v>81</v>
      </c>
      <c r="B37" s="7"/>
      <c r="C37" s="7"/>
      <c r="D37" s="7"/>
    </row>
    <row r="38" spans="1:4" ht="29" x14ac:dyDescent="0.45">
      <c r="B38" s="26" t="s">
        <v>82</v>
      </c>
      <c r="C38" s="27" t="s">
        <v>83</v>
      </c>
      <c r="D38" s="29" t="str">
        <f>IF(COUNTIF(D19:D31,"Yes")&gt;0,"Yes","No")</f>
        <v>No</v>
      </c>
    </row>
  </sheetData>
  <mergeCells count="5">
    <mergeCell ref="A1:D1"/>
    <mergeCell ref="A10:D10"/>
    <mergeCell ref="A17:D17"/>
    <mergeCell ref="A33:D33"/>
    <mergeCell ref="A37:D37"/>
  </mergeCells>
  <dataValidations count="2">
    <dataValidation type="list" sqref="C8" xr:uid="{00000000-0002-0000-0100-000000000000}">
      <formula1>"New to Self-Funding,Existing Self-Funded - Renewal/Optimization"</formula1>
      <formula2>0</formula2>
    </dataValidation>
    <dataValidation type="list" sqref="D12:D15 D19:D31 D35" xr:uid="{00000000-0002-0000-0100-000001000000}">
      <formula1>"Yes,No"</formula1>
      <formula2>0</formula2>
    </dataValidation>
  </dataValidations>
  <pageMargins left="0.4" right="0.4" top="0.5" bottom="0.5"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53243"/>
    <pageSetUpPr fitToPage="1"/>
  </sheetPr>
  <dimension ref="A1:E28"/>
  <sheetViews>
    <sheetView showGridLines="0" zoomScaleNormal="100" workbookViewId="0"/>
  </sheetViews>
  <sheetFormatPr defaultColWidth="8.6328125" defaultRowHeight="14.5" x14ac:dyDescent="0.35"/>
  <cols>
    <col min="1" max="1" width="3" customWidth="1"/>
    <col min="2" max="4" width="30" customWidth="1"/>
    <col min="5" max="5" width="3" customWidth="1"/>
  </cols>
  <sheetData>
    <row r="1" spans="1:5" ht="31.5" customHeight="1" x14ac:dyDescent="0.35">
      <c r="A1" s="14" t="s">
        <v>84</v>
      </c>
      <c r="B1" s="14"/>
      <c r="C1" s="14"/>
      <c r="D1" s="14"/>
      <c r="E1" s="14"/>
    </row>
    <row r="2" spans="1:5" ht="16" x14ac:dyDescent="0.5">
      <c r="B2" s="6" t="str">
        <f>"Prepared for "&amp;'Client Setup'!$C$4&amp;"   |   "&amp;'Client Setup'!$C$8</f>
        <v>Prepared for Example Employer, Inc.   |   New to Self-Funding</v>
      </c>
      <c r="C2" s="6"/>
      <c r="D2" s="6"/>
    </row>
    <row r="4" spans="1:5" ht="18" customHeight="1" x14ac:dyDescent="0.35"/>
    <row r="5" spans="1:5" ht="18" customHeight="1" x14ac:dyDescent="0.35"/>
    <row r="6" spans="1:5" ht="18" customHeight="1" x14ac:dyDescent="0.35"/>
    <row r="7" spans="1:5" ht="18" customHeight="1" x14ac:dyDescent="0.35"/>
    <row r="8" spans="1:5" ht="18" customHeight="1" x14ac:dyDescent="0.35"/>
    <row r="9" spans="1:5" ht="18" customHeight="1" x14ac:dyDescent="0.35"/>
    <row r="10" spans="1:5" ht="18" customHeight="1" x14ac:dyDescent="0.35"/>
    <row r="11" spans="1:5" ht="18" customHeight="1" x14ac:dyDescent="0.35"/>
    <row r="12" spans="1:5" ht="18" customHeight="1" x14ac:dyDescent="0.35"/>
    <row r="13" spans="1:5" ht="18" customHeight="1" x14ac:dyDescent="0.35"/>
    <row r="14" spans="1:5" ht="18" customHeight="1" x14ac:dyDescent="0.35"/>
    <row r="15" spans="1:5" ht="18" customHeight="1" x14ac:dyDescent="0.35"/>
    <row r="16" spans="1:5" ht="15" customHeight="1" x14ac:dyDescent="0.35">
      <c r="B16" s="5" t="s">
        <v>85</v>
      </c>
      <c r="C16" s="5"/>
      <c r="D16" s="5"/>
    </row>
    <row r="17" spans="2:4" x14ac:dyDescent="0.35">
      <c r="B17" s="5"/>
      <c r="C17" s="5"/>
      <c r="D17" s="5"/>
    </row>
    <row r="18" spans="2:4" x14ac:dyDescent="0.35">
      <c r="B18" s="5"/>
      <c r="C18" s="5"/>
      <c r="D18" s="5"/>
    </row>
    <row r="20" spans="2:4" ht="19.5" x14ac:dyDescent="0.6">
      <c r="B20" s="16" t="s">
        <v>86</v>
      </c>
    </row>
    <row r="21" spans="2:4" ht="24" customHeight="1" x14ac:dyDescent="0.35">
      <c r="B21" s="4" t="s">
        <v>87</v>
      </c>
      <c r="C21" s="4"/>
      <c r="D21" s="4"/>
    </row>
    <row r="22" spans="2:4" ht="15.5" x14ac:dyDescent="0.45">
      <c r="B22" s="3" t="s">
        <v>88</v>
      </c>
      <c r="C22" s="3"/>
      <c r="D22" s="3"/>
    </row>
    <row r="23" spans="2:4" ht="24" customHeight="1" x14ac:dyDescent="0.35">
      <c r="B23" s="2" t="s">
        <v>89</v>
      </c>
      <c r="C23" s="2"/>
      <c r="D23" s="2"/>
    </row>
    <row r="24" spans="2:4" ht="15.5" x14ac:dyDescent="0.45">
      <c r="B24" s="3" t="s">
        <v>90</v>
      </c>
      <c r="C24" s="3"/>
      <c r="D24" s="3"/>
    </row>
    <row r="25" spans="2:4" ht="24" customHeight="1" x14ac:dyDescent="0.35">
      <c r="B25" s="1" t="s">
        <v>91</v>
      </c>
      <c r="C25" s="1"/>
      <c r="D25" s="1"/>
    </row>
    <row r="26" spans="2:4" ht="15.5" x14ac:dyDescent="0.45">
      <c r="B26" s="3" t="s">
        <v>92</v>
      </c>
      <c r="C26" s="3"/>
      <c r="D26" s="3"/>
    </row>
    <row r="27" spans="2:4" ht="24" customHeight="1" x14ac:dyDescent="0.35">
      <c r="B27" s="47" t="s">
        <v>93</v>
      </c>
      <c r="C27" s="47"/>
      <c r="D27" s="47"/>
    </row>
    <row r="28" spans="2:4" ht="15.5" x14ac:dyDescent="0.45">
      <c r="B28" s="3" t="s">
        <v>94</v>
      </c>
      <c r="C28" s="3"/>
      <c r="D28" s="3"/>
    </row>
  </sheetData>
  <mergeCells count="11">
    <mergeCell ref="B28:D28"/>
    <mergeCell ref="B23:D23"/>
    <mergeCell ref="B24:D24"/>
    <mergeCell ref="B25:D25"/>
    <mergeCell ref="B26:D26"/>
    <mergeCell ref="B27:D27"/>
    <mergeCell ref="A1:E1"/>
    <mergeCell ref="B2:D2"/>
    <mergeCell ref="B16:D18"/>
    <mergeCell ref="B21:D21"/>
    <mergeCell ref="B22:D22"/>
  </mergeCells>
  <hyperlinks>
    <hyperlink ref="B21" r:id="rId1" location="'HR%20Checklist'!A1" xr:uid="{00000000-0004-0000-0200-000000000000}"/>
    <hyperlink ref="B23" r:id="rId2" location="'Finance%20Checklist'!A1" xr:uid="{00000000-0004-0000-0200-000001000000}"/>
    <hyperlink ref="B25" r:id="rId3" location="'Signing%20Checklist'!A1" xr:uid="{00000000-0004-0000-0200-000002000000}"/>
    <hyperlink ref="B27" r:id="rId4" location="'Full%20Roadmap'!A1" xr:uid="{00000000-0004-0000-0200-000003000000}"/>
  </hyperlinks>
  <pageMargins left="0.4" right="0.4" top="0.5" bottom="0.5" header="0.511811023622047" footer="0.511811023622047"/>
  <pageSetup fitToHeight="0" orientation="landscape" horizontalDpi="300" verticalDpi="300"/>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66E8E"/>
    <pageSetUpPr fitToPage="1"/>
  </sheetPr>
  <dimension ref="A1:E50"/>
  <sheetViews>
    <sheetView showGridLines="0" zoomScaleNormal="100" workbookViewId="0">
      <pane ySplit="5" topLeftCell="A6" activePane="bottomLeft" state="frozen"/>
      <selection pane="bottomLeft"/>
    </sheetView>
  </sheetViews>
  <sheetFormatPr defaultColWidth="8.6328125" defaultRowHeight="14.5" outlineLevelRow="1" x14ac:dyDescent="0.35"/>
  <cols>
    <col min="1" max="1" width="15" customWidth="1"/>
    <col min="2" max="2" width="34" customWidth="1"/>
    <col min="3" max="3" width="46" customWidth="1"/>
    <col min="4" max="4" width="11" customWidth="1"/>
    <col min="5" max="5" width="13" customWidth="1"/>
  </cols>
  <sheetData>
    <row r="1" spans="1:5" ht="30" customHeight="1" x14ac:dyDescent="0.35">
      <c r="A1" s="9" t="s">
        <v>95</v>
      </c>
      <c r="B1" s="9"/>
      <c r="C1" s="9"/>
      <c r="D1" s="9"/>
      <c r="E1" s="9"/>
    </row>
    <row r="2" spans="1:5" ht="16" x14ac:dyDescent="0.5">
      <c r="A2" s="6" t="str">
        <f>"Prepared for "&amp;'Client Setup'!$C$4&amp;"   |   "&amp;'Client Setup'!$C$8</f>
        <v>Prepared for Example Employer, Inc.   |   New to Self-Funding</v>
      </c>
      <c r="B2" s="6"/>
      <c r="C2" s="6"/>
      <c r="D2" s="6"/>
      <c r="E2" s="6"/>
    </row>
    <row r="3" spans="1:5" ht="24" customHeight="1" x14ac:dyDescent="0.45">
      <c r="A3" s="48" t="s">
        <v>96</v>
      </c>
      <c r="B3" s="48"/>
      <c r="C3" s="48"/>
      <c r="D3" s="48"/>
      <c r="E3" s="48"/>
    </row>
    <row r="5" spans="1:5" ht="19.5" customHeight="1" x14ac:dyDescent="0.35">
      <c r="A5" s="30" t="s">
        <v>97</v>
      </c>
      <c r="B5" s="30" t="s">
        <v>78</v>
      </c>
      <c r="C5" s="30" t="s">
        <v>98</v>
      </c>
      <c r="D5" s="30" t="s">
        <v>99</v>
      </c>
      <c r="E5" s="30" t="s">
        <v>100</v>
      </c>
    </row>
    <row r="6" spans="1:5" ht="21.75" customHeight="1" x14ac:dyDescent="0.35">
      <c r="A6" s="8" t="s">
        <v>101</v>
      </c>
      <c r="B6" s="8"/>
      <c r="C6" s="8"/>
      <c r="D6" s="8"/>
      <c r="E6" s="8"/>
    </row>
    <row r="7" spans="1:5" ht="30" customHeight="1" x14ac:dyDescent="0.45">
      <c r="A7" s="31" t="s">
        <v>102</v>
      </c>
      <c r="B7" s="32" t="str">
        <f>IF('Document &amp; Task Library'!C5="","",'Document &amp; Task Library'!C5)</f>
        <v>TPA &amp; Benefit Design Calls</v>
      </c>
      <c r="C7" s="27" t="str">
        <f>IF('Document &amp; Task Library'!H5="","",'Document &amp; Task Library'!H5)</f>
        <v>Finalizes plan design and claims setup with your TPA</v>
      </c>
      <c r="D7" s="33" t="str">
        <f>IF('Document &amp; Task Library'!E5="ALWAYS","Yes",IFERROR(INDEX('Client Setup'!$D$12:$D$38,MATCH('Document &amp; Task Library'!E5,'Client Setup'!$B$12:$B$38,0)),"No"))</f>
        <v>Yes</v>
      </c>
      <c r="E7" s="34"/>
    </row>
    <row r="8" spans="1:5" ht="42" hidden="1" customHeight="1" outlineLevel="1" x14ac:dyDescent="0.35">
      <c r="A8" s="35"/>
      <c r="B8" s="49" t="str">
        <f>"Why it matters:  "&amp;'Document &amp; Task Library'!I5&amp;"     What to expect:  "&amp;'Document &amp; Task Library'!J5</f>
        <v>Why it matters:  Kickoff calls with the Third Party Administrator to finalize plan design, eligibility rules, and claims administration setup ahead of the effective date.     What to expect:  2-4 sessions of 60-90 minutes over the first 3-4 weeks. Have current plan documents and eligibility file specs ready.</v>
      </c>
      <c r="C8" s="49"/>
      <c r="D8" s="49"/>
      <c r="E8" s="49"/>
    </row>
    <row r="9" spans="1:5" ht="30" customHeight="1" x14ac:dyDescent="0.45">
      <c r="A9" s="31" t="s">
        <v>102</v>
      </c>
      <c r="B9" s="32" t="str">
        <f>IF('Document &amp; Task Library'!C6="","",'Document &amp; Task Library'!C6)</f>
        <v>PBM Implementation Calls</v>
      </c>
      <c r="C9" s="27" t="str">
        <f>IF('Document &amp; Task Library'!H6="","",'Document &amp; Task Library'!H6)</f>
        <v>Sets up your pharmacy formulary and member ID cards</v>
      </c>
      <c r="D9" s="33" t="str">
        <f>IF('Document &amp; Task Library'!E6="ALWAYS","Yes",IFERROR(INDEX('Client Setup'!$D$12:$D$38,MATCH('Document &amp; Task Library'!E6,'Client Setup'!$B$12:$B$38,0)),"No"))</f>
        <v>Yes</v>
      </c>
      <c r="E9" s="34"/>
    </row>
    <row r="10" spans="1:5" ht="42" hidden="1" customHeight="1" outlineLevel="1" x14ac:dyDescent="0.35">
      <c r="A10" s="35"/>
      <c r="B10" s="49" t="str">
        <f>"Why it matters:  "&amp;'Document &amp; Task Library'!I6&amp;"     What to expect:  "&amp;'Document &amp; Task Library'!J6</f>
        <v>Why it matters:  Implementation calls with the Pharmacy Benefit Manager to configure the formulary, prior authorization rules, and member ID cards.     What to expect:  2-3 calls led by the PBM's implementation team. HR confirms member eligibility feed timing.</v>
      </c>
      <c r="C10" s="49"/>
      <c r="D10" s="49"/>
      <c r="E10" s="49"/>
    </row>
    <row r="11" spans="1:5" ht="30" customHeight="1" x14ac:dyDescent="0.45">
      <c r="A11" s="31" t="s">
        <v>102</v>
      </c>
      <c r="B11" s="32" t="str">
        <f>IF('Document &amp; Task Library'!C7="","",'Document &amp; Task Library'!C7)</f>
        <v>Cost Containment Vendor Calls</v>
      </c>
      <c r="C11" s="27" t="str">
        <f>IF('Document &amp; Task Library'!H7="","",'Document &amp; Task Library'!H7)</f>
        <v>Kicks off each Savings Engine vendor you selected</v>
      </c>
      <c r="D11" s="33" t="str">
        <f>IF('Document &amp; Task Library'!E7="ALWAYS","Yes",IFERROR(INDEX('Client Setup'!$D$12:$D$38,MATCH('Document &amp; Task Library'!E7,'Client Setup'!$B$12:$B$38,0)),"No"))</f>
        <v>No</v>
      </c>
      <c r="E11" s="34"/>
    </row>
    <row r="12" spans="1:5" ht="42" hidden="1" customHeight="1" outlineLevel="1" x14ac:dyDescent="0.35">
      <c r="A12" s="35"/>
      <c r="B12" s="49" t="str">
        <f>"Why it matters:  "&amp;'Document &amp; Task Library'!I7&amp;"     What to expect:  "&amp;'Document &amp; Task Library'!J7</f>
        <v>Why it matters:  Individual kickoff calls with each selected Savings Engine vendor to set up enrollment, eligibility feeds, and member communications.     What to expect:  One call per selected vendor, typically 30-45 minutes, scheduled across the first month.</v>
      </c>
      <c r="C12" s="49"/>
      <c r="D12" s="49"/>
      <c r="E12" s="49"/>
    </row>
    <row r="13" spans="1:5" ht="30" customHeight="1" x14ac:dyDescent="0.45">
      <c r="A13" s="31" t="s">
        <v>102</v>
      </c>
      <c r="B13" s="32" t="str">
        <f>IF('Document &amp; Task Library'!C8="","",'Document &amp; Task Library'!C8)</f>
        <v>COBRA / FSA / HSA Calls</v>
      </c>
      <c r="C13" s="27" t="str">
        <f>IF('Document &amp; Task Library'!H8="","",'Document &amp; Task Library'!H8)</f>
        <v>Transitions COBRA and FSA/HSA administration to the new plan</v>
      </c>
      <c r="D13" s="33" t="str">
        <f>IF('Document &amp; Task Library'!E8="ALWAYS","Yes",IFERROR(INDEX('Client Setup'!$D$12:$D$38,MATCH('Document &amp; Task Library'!E8,'Client Setup'!$B$12:$B$38,0)),"No"))</f>
        <v>Yes</v>
      </c>
      <c r="E13" s="34"/>
    </row>
    <row r="14" spans="1:5" ht="42" hidden="1" customHeight="1" outlineLevel="1" x14ac:dyDescent="0.35">
      <c r="A14" s="35"/>
      <c r="B14" s="49" t="str">
        <f>"Why it matters:  "&amp;'Document &amp; Task Library'!I8&amp;"     What to expect:  "&amp;'Document &amp; Task Library'!J8</f>
        <v>Why it matters:  Setup calls with the COBRA administrator and FSA/HSA vendor to transition existing participants and establish new account administration.     What to expect:  One call per vendor. HR provides the current COBRA participant list and FSA/HSA balances for transition.</v>
      </c>
      <c r="C14" s="49"/>
      <c r="D14" s="49"/>
      <c r="E14" s="49"/>
    </row>
    <row r="15" spans="1:5" ht="21.75" customHeight="1" x14ac:dyDescent="0.35">
      <c r="A15" s="8" t="s">
        <v>103</v>
      </c>
      <c r="B15" s="8"/>
      <c r="C15" s="8"/>
      <c r="D15" s="8"/>
      <c r="E15" s="8"/>
    </row>
    <row r="16" spans="1:5" ht="30" customHeight="1" x14ac:dyDescent="0.45">
      <c r="A16" s="31" t="s">
        <v>102</v>
      </c>
      <c r="B16" s="32" t="str">
        <f>IF('Document &amp; Task Library'!C31="","",'Document &amp; Task Library'!C31)</f>
        <v>Build HRIS for Open Enrollment</v>
      </c>
      <c r="C16" s="27" t="str">
        <f>IF('Document &amp; Task Library'!H31="","",'Document &amp; Task Library'!H31)</f>
        <v>Loads new plan options and rates into your HRIS</v>
      </c>
      <c r="D16" s="33" t="str">
        <f>IF('Document &amp; Task Library'!E31="ALWAYS","Yes",IFERROR(INDEX('Client Setup'!$D$12:$D$38,MATCH('Document &amp; Task Library'!E31,'Client Setup'!$B$12:$B$38,0)),"No"))</f>
        <v>Yes</v>
      </c>
      <c r="E16" s="34"/>
    </row>
    <row r="17" spans="1:5" ht="42" hidden="1" customHeight="1" outlineLevel="1" x14ac:dyDescent="0.35">
      <c r="A17" s="35"/>
      <c r="B17" s="49" t="str">
        <f>"Why it matters:  "&amp;'Document &amp; Task Library'!I31&amp;"     What to expect:  "&amp;'Document &amp; Task Library'!J31</f>
        <v>Why it matters:  Configure the HR information system to reflect new plan options, rates, and eligibility rules ahead of open enrollment.     What to expect:  HR-owned. CCIG provides plan design specs to support setup.</v>
      </c>
      <c r="C17" s="49"/>
      <c r="D17" s="49"/>
      <c r="E17" s="49"/>
    </row>
    <row r="18" spans="1:5" ht="30" customHeight="1" x14ac:dyDescent="0.45">
      <c r="A18" s="31" t="s">
        <v>102</v>
      </c>
      <c r="B18" s="32" t="str">
        <f>IF('Document &amp; Task Library'!C32="","",'Document &amp; Task Library'!C32)</f>
        <v>Coordinate Open Enrollment Dates/Times</v>
      </c>
      <c r="C18" s="27" t="str">
        <f>IF('Document &amp; Task Library'!H32="","",'Document &amp; Task Library'!H32)</f>
        <v>Locks the open enrollment window and meeting schedule</v>
      </c>
      <c r="D18" s="33" t="str">
        <f>IF('Document &amp; Task Library'!E32="ALWAYS","Yes",IFERROR(INDEX('Client Setup'!$D$12:$D$38,MATCH('Document &amp; Task Library'!E32,'Client Setup'!$B$12:$B$38,0)),"No"))</f>
        <v>Yes</v>
      </c>
      <c r="E18" s="34"/>
    </row>
    <row r="19" spans="1:5" ht="42" hidden="1" customHeight="1" outlineLevel="1" x14ac:dyDescent="0.35">
      <c r="A19" s="35"/>
      <c r="B19" s="49" t="str">
        <f>"Why it matters:  "&amp;'Document &amp; Task Library'!I32&amp;"     What to expect:  "&amp;'Document &amp; Task Library'!J32</f>
        <v>Why it matters:  Finalize the open enrollment window and schedule employee meetings or webinars.     What to expect:  Lock this in early; it drives every other communication deadline.</v>
      </c>
      <c r="C19" s="49"/>
      <c r="D19" s="49"/>
      <c r="E19" s="49"/>
    </row>
    <row r="20" spans="1:5" ht="30" customHeight="1" x14ac:dyDescent="0.45">
      <c r="A20" s="31" t="s">
        <v>102</v>
      </c>
      <c r="B20" s="32" t="str">
        <f>IF('Document &amp; Task Library'!C33="","",'Document &amp; Task Library'!C33)</f>
        <v>Review Open Enrollment Communications &amp; Materials</v>
      </c>
      <c r="C20" s="27" t="str">
        <f>IF('Document &amp; Task Library'!H33="","",'Document &amp; Task Library'!H33)</f>
        <v>Approves employee enrollment guides and emails</v>
      </c>
      <c r="D20" s="33" t="str">
        <f>IF('Document &amp; Task Library'!E33="ALWAYS","Yes",IFERROR(INDEX('Client Setup'!$D$12:$D$38,MATCH('Document &amp; Task Library'!E33,'Client Setup'!$B$12:$B$38,0)),"No"))</f>
        <v>Yes</v>
      </c>
      <c r="E20" s="34"/>
    </row>
    <row r="21" spans="1:5" ht="42" hidden="1" customHeight="1" outlineLevel="1" x14ac:dyDescent="0.35">
      <c r="A21" s="35"/>
      <c r="B21" s="49" t="str">
        <f>"Why it matters:  "&amp;'Document &amp; Task Library'!I33&amp;"     What to expect:  "&amp;'Document &amp; Task Library'!J33</f>
        <v>Why it matters:  Review and approve employee-facing enrollment guides, emails, and presentation materials before distribution.     What to expect:  CCIG drafts the first version; HR reviews for accuracy and tone.</v>
      </c>
      <c r="C21" s="49"/>
      <c r="D21" s="49"/>
      <c r="E21" s="49"/>
    </row>
    <row r="22" spans="1:5" ht="30" customHeight="1" x14ac:dyDescent="0.45">
      <c r="A22" s="31" t="s">
        <v>102</v>
      </c>
      <c r="B22" s="32" t="str">
        <f>IF('Document &amp; Task Library'!C34="","",'Document &amp; Task Library'!C34)</f>
        <v>Complete Open Enrollment Eligibility File</v>
      </c>
      <c r="C22" s="27" t="str">
        <f>IF('Document &amp; Task Library'!H34="","",'Document &amp; Task Library'!H34)</f>
        <v>Submits the census file that loads member records</v>
      </c>
      <c r="D22" s="33" t="str">
        <f>IF('Document &amp; Task Library'!E34="ALWAYS","Yes",IFERROR(INDEX('Client Setup'!$D$12:$D$38,MATCH('Document &amp; Task Library'!E34,'Client Setup'!$B$12:$B$38,0)),"No"))</f>
        <v>Yes</v>
      </c>
      <c r="E22" s="34"/>
    </row>
    <row r="23" spans="1:5" ht="42" hidden="1" customHeight="1" outlineLevel="1" x14ac:dyDescent="0.35">
      <c r="A23" s="35"/>
      <c r="B23" s="49" t="str">
        <f>"Why it matters:  "&amp;'Document &amp; Task Library'!I34&amp;"     What to expect:  "&amp;'Document &amp; Task Library'!J34</f>
        <v>Why it matters:  Finalize and submit the eligibility census file the TPA and vendors use to load member records.     What to expect:  The single most time-sensitive HR deliverable. A late file delays ID cards and vendor access for members.</v>
      </c>
      <c r="C23" s="49"/>
      <c r="D23" s="49"/>
      <c r="E23" s="49"/>
    </row>
    <row r="24" spans="1:5" ht="21.75" customHeight="1" x14ac:dyDescent="0.35">
      <c r="A24" s="8" t="s">
        <v>104</v>
      </c>
      <c r="B24" s="8"/>
      <c r="C24" s="8"/>
      <c r="D24" s="8"/>
      <c r="E24" s="8"/>
    </row>
    <row r="25" spans="1:5" ht="30" customHeight="1" x14ac:dyDescent="0.45">
      <c r="A25" s="31" t="s">
        <v>102</v>
      </c>
      <c r="B25" s="32" t="str">
        <f>IF('Document &amp; Task Library'!C37="","",'Document &amp; Task Library'!C37)</f>
        <v>Complete Enrollment - CancerCare</v>
      </c>
      <c r="C25" s="27" t="str">
        <f>IF('Document &amp; Task Library'!H37="","",'Document &amp; Task Library'!H37)</f>
        <v>Activates CancerCare for your members</v>
      </c>
      <c r="D25" s="33" t="str">
        <f>IF('Document &amp; Task Library'!E37="ALWAYS","Yes",IFERROR(INDEX('Client Setup'!$D$12:$D$38,MATCH('Document &amp; Task Library'!E37,'Client Setup'!$B$12:$B$38,0)),"No"))</f>
        <v>No</v>
      </c>
      <c r="E25" s="34"/>
    </row>
    <row r="26" spans="1:5" ht="42" hidden="1" customHeight="1" outlineLevel="1" x14ac:dyDescent="0.35">
      <c r="A26" s="35"/>
      <c r="B26" s="49" t="str">
        <f>"Why it matters:  "&amp;'Document &amp; Task Library'!I37&amp;"     What to expect:  "&amp;'Document &amp; Task Library'!J37</f>
        <v>Why it matters:  Finalize the eligibility feed and member enrollment setup with CancerCare so the solution is active for members at go-live.     What to expect:  Coordinated on the vendor kickoff call above; exact timing varies by vendor.</v>
      </c>
      <c r="C26" s="49"/>
      <c r="D26" s="49"/>
      <c r="E26" s="49"/>
    </row>
    <row r="27" spans="1:5" ht="30" customHeight="1" x14ac:dyDescent="0.45">
      <c r="A27" s="31" t="s">
        <v>102</v>
      </c>
      <c r="B27" s="32" t="str">
        <f>IF('Document &amp; Task Library'!C38="","",'Document &amp; Task Library'!C38)</f>
        <v>Complete Enrollment - eHealth</v>
      </c>
      <c r="C27" s="27" t="str">
        <f>IF('Document &amp; Task Library'!H38="","",'Document &amp; Task Library'!H38)</f>
        <v>Activates eHealth for your members</v>
      </c>
      <c r="D27" s="33" t="str">
        <f>IF('Document &amp; Task Library'!E38="ALWAYS","Yes",IFERROR(INDEX('Client Setup'!$D$12:$D$38,MATCH('Document &amp; Task Library'!E38,'Client Setup'!$B$12:$B$38,0)),"No"))</f>
        <v>No</v>
      </c>
      <c r="E27" s="34"/>
    </row>
    <row r="28" spans="1:5" ht="42" hidden="1" customHeight="1" outlineLevel="1" x14ac:dyDescent="0.35">
      <c r="A28" s="35"/>
      <c r="B28" s="49" t="str">
        <f>"Why it matters:  "&amp;'Document &amp; Task Library'!I38&amp;"     What to expect:  "&amp;'Document &amp; Task Library'!J38</f>
        <v>Why it matters:  Finalize the eligibility feed and member enrollment setup with eHealth so the solution is active for members at go-live.     What to expect:  Coordinated on the vendor kickoff call above; exact timing varies by vendor.</v>
      </c>
      <c r="C28" s="49"/>
      <c r="D28" s="49"/>
      <c r="E28" s="49"/>
    </row>
    <row r="29" spans="1:5" ht="30" customHeight="1" x14ac:dyDescent="0.45">
      <c r="A29" s="31" t="s">
        <v>102</v>
      </c>
      <c r="B29" s="32" t="str">
        <f>IF('Document &amp; Task Library'!C39="","",'Document &amp; Task Library'!C39)</f>
        <v>Complete Enrollment - First Stop Health</v>
      </c>
      <c r="C29" s="27" t="str">
        <f>IF('Document &amp; Task Library'!H39="","",'Document &amp; Task Library'!H39)</f>
        <v>Activates First Stop Health for your members</v>
      </c>
      <c r="D29" s="33" t="str">
        <f>IF('Document &amp; Task Library'!E39="ALWAYS","Yes",IFERROR(INDEX('Client Setup'!$D$12:$D$38,MATCH('Document &amp; Task Library'!E39,'Client Setup'!$B$12:$B$38,0)),"No"))</f>
        <v>No</v>
      </c>
      <c r="E29" s="34"/>
    </row>
    <row r="30" spans="1:5" ht="42" hidden="1" customHeight="1" outlineLevel="1" x14ac:dyDescent="0.35">
      <c r="A30" s="35"/>
      <c r="B30" s="49" t="str">
        <f>"Why it matters:  "&amp;'Document &amp; Task Library'!I39&amp;"     What to expect:  "&amp;'Document &amp; Task Library'!J39</f>
        <v>Why it matters:  Finalize the eligibility feed and member enrollment setup with First Stop Health so the solution is active for members at go-live.     What to expect:  Coordinated on the vendor kickoff call above; exact timing varies by vendor.</v>
      </c>
      <c r="C30" s="49"/>
      <c r="D30" s="49"/>
      <c r="E30" s="49"/>
    </row>
    <row r="31" spans="1:5" ht="30" customHeight="1" x14ac:dyDescent="0.45">
      <c r="A31" s="31" t="s">
        <v>102</v>
      </c>
      <c r="B31" s="32" t="str">
        <f>IF('Document &amp; Task Library'!C40="","",'Document &amp; Task Library'!C40)</f>
        <v>Complete Enrollment - Found</v>
      </c>
      <c r="C31" s="27" t="str">
        <f>IF('Document &amp; Task Library'!H40="","",'Document &amp; Task Library'!H40)</f>
        <v>Activates Found for your members</v>
      </c>
      <c r="D31" s="33" t="str">
        <f>IF('Document &amp; Task Library'!E40="ALWAYS","Yes",IFERROR(INDEX('Client Setup'!$D$12:$D$38,MATCH('Document &amp; Task Library'!E40,'Client Setup'!$B$12:$B$38,0)),"No"))</f>
        <v>No</v>
      </c>
      <c r="E31" s="34"/>
    </row>
    <row r="32" spans="1:5" ht="42" hidden="1" customHeight="1" outlineLevel="1" x14ac:dyDescent="0.35">
      <c r="A32" s="35"/>
      <c r="B32" s="49" t="str">
        <f>"Why it matters:  "&amp;'Document &amp; Task Library'!I40&amp;"     What to expect:  "&amp;'Document &amp; Task Library'!J40</f>
        <v>Why it matters:  Finalize the eligibility feed and member enrollment setup with Found so the solution is active for members at go-live.     What to expect:  Coordinated on the vendor kickoff call above; exact timing varies by vendor.</v>
      </c>
      <c r="C32" s="49"/>
      <c r="D32" s="49"/>
      <c r="E32" s="49"/>
    </row>
    <row r="33" spans="1:5" ht="30" customHeight="1" x14ac:dyDescent="0.45">
      <c r="A33" s="31" t="s">
        <v>102</v>
      </c>
      <c r="B33" s="32" t="str">
        <f>IF('Document &amp; Task Library'!C41="","",'Document &amp; Task Library'!C41)</f>
        <v>Complete Enrollment - HUSK</v>
      </c>
      <c r="C33" s="27" t="str">
        <f>IF('Document &amp; Task Library'!H41="","",'Document &amp; Task Library'!H41)</f>
        <v>Activates HUSK for your members</v>
      </c>
      <c r="D33" s="33" t="str">
        <f>IF('Document &amp; Task Library'!E41="ALWAYS","Yes",IFERROR(INDEX('Client Setup'!$D$12:$D$38,MATCH('Document &amp; Task Library'!E41,'Client Setup'!$B$12:$B$38,0)),"No"))</f>
        <v>No</v>
      </c>
      <c r="E33" s="34"/>
    </row>
    <row r="34" spans="1:5" ht="42" hidden="1" customHeight="1" outlineLevel="1" x14ac:dyDescent="0.35">
      <c r="A34" s="35"/>
      <c r="B34" s="49" t="str">
        <f>"Why it matters:  "&amp;'Document &amp; Task Library'!I41&amp;"     What to expect:  "&amp;'Document &amp; Task Library'!J41</f>
        <v>Why it matters:  Finalize the eligibility feed and member enrollment setup with HUSK so the solution is active for members at go-live.     What to expect:  Coordinated on the vendor kickoff call above; exact timing varies by vendor.</v>
      </c>
      <c r="C34" s="49"/>
      <c r="D34" s="49"/>
      <c r="E34" s="49"/>
    </row>
    <row r="35" spans="1:5" ht="30" customHeight="1" x14ac:dyDescent="0.45">
      <c r="A35" s="31" t="s">
        <v>102</v>
      </c>
      <c r="B35" s="32" t="str">
        <f>IF('Document &amp; Task Library'!C42="","",'Document &amp; Task Library'!C42)</f>
        <v>Complete Enrollment - Lyra Select</v>
      </c>
      <c r="C35" s="27" t="str">
        <f>IF('Document &amp; Task Library'!H42="","",'Document &amp; Task Library'!H42)</f>
        <v>Activates Lyra Select for your members</v>
      </c>
      <c r="D35" s="33" t="str">
        <f>IF('Document &amp; Task Library'!E42="ALWAYS","Yes",IFERROR(INDEX('Client Setup'!$D$12:$D$38,MATCH('Document &amp; Task Library'!E42,'Client Setup'!$B$12:$B$38,0)),"No"))</f>
        <v>No</v>
      </c>
      <c r="E35" s="34"/>
    </row>
    <row r="36" spans="1:5" ht="42" hidden="1" customHeight="1" outlineLevel="1" x14ac:dyDescent="0.35">
      <c r="A36" s="35"/>
      <c r="B36" s="49" t="str">
        <f>"Why it matters:  "&amp;'Document &amp; Task Library'!I42&amp;"     What to expect:  "&amp;'Document &amp; Task Library'!J42</f>
        <v>Why it matters:  Finalize the eligibility feed and member enrollment setup with Lyra Select so the solution is active for members at go-live.     What to expect:  Coordinated on the vendor kickoff call above; exact timing varies by vendor.</v>
      </c>
      <c r="C36" s="49"/>
      <c r="D36" s="49"/>
      <c r="E36" s="49"/>
    </row>
    <row r="37" spans="1:5" ht="30" customHeight="1" x14ac:dyDescent="0.45">
      <c r="A37" s="31" t="s">
        <v>102</v>
      </c>
      <c r="B37" s="32" t="str">
        <f>IF('Document &amp; Task Library'!C43="","",'Document &amp; Task Library'!C43)</f>
        <v>Complete Enrollment - The Phia Group</v>
      </c>
      <c r="C37" s="27" t="str">
        <f>IF('Document &amp; Task Library'!H43="","",'Document &amp; Task Library'!H43)</f>
        <v>Activates The Phia Group for your members</v>
      </c>
      <c r="D37" s="33" t="str">
        <f>IF('Document &amp; Task Library'!E43="ALWAYS","Yes",IFERROR(INDEX('Client Setup'!$D$12:$D$38,MATCH('Document &amp; Task Library'!E43,'Client Setup'!$B$12:$B$38,0)),"No"))</f>
        <v>No</v>
      </c>
      <c r="E37" s="34"/>
    </row>
    <row r="38" spans="1:5" ht="42" hidden="1" customHeight="1" outlineLevel="1" x14ac:dyDescent="0.35">
      <c r="A38" s="35"/>
      <c r="B38" s="49" t="str">
        <f>"Why it matters:  "&amp;'Document &amp; Task Library'!I43&amp;"     What to expect:  "&amp;'Document &amp; Task Library'!J43</f>
        <v>Why it matters:  Finalize the eligibility feed and member enrollment setup with The Phia Group so the solution is active for members at go-live.     What to expect:  Coordinated on the vendor kickoff call above; exact timing varies by vendor.</v>
      </c>
      <c r="C38" s="49"/>
      <c r="D38" s="49"/>
      <c r="E38" s="49"/>
    </row>
    <row r="39" spans="1:5" ht="30" customHeight="1" x14ac:dyDescent="0.45">
      <c r="A39" s="31" t="s">
        <v>102</v>
      </c>
      <c r="B39" s="32" t="str">
        <f>IF('Document &amp; Task Library'!C44="","",'Document &amp; Task Library'!C44)</f>
        <v>Complete Enrollment - Progeny Health</v>
      </c>
      <c r="C39" s="27" t="str">
        <f>IF('Document &amp; Task Library'!H44="","",'Document &amp; Task Library'!H44)</f>
        <v>Activates Progeny Health for your members</v>
      </c>
      <c r="D39" s="33" t="str">
        <f>IF('Document &amp; Task Library'!E44="ALWAYS","Yes",IFERROR(INDEX('Client Setup'!$D$12:$D$38,MATCH('Document &amp; Task Library'!E44,'Client Setup'!$B$12:$B$38,0)),"No"))</f>
        <v>No</v>
      </c>
      <c r="E39" s="34"/>
    </row>
    <row r="40" spans="1:5" ht="42" hidden="1" customHeight="1" outlineLevel="1" x14ac:dyDescent="0.35">
      <c r="A40" s="35"/>
      <c r="B40" s="49" t="str">
        <f>"Why it matters:  "&amp;'Document &amp; Task Library'!I44&amp;"     What to expect:  "&amp;'Document &amp; Task Library'!J44</f>
        <v>Why it matters:  Finalize the eligibility feed and member enrollment setup with Progeny Health so the solution is active for members at go-live.     What to expect:  Coordinated on the vendor kickoff call above; exact timing varies by vendor.</v>
      </c>
      <c r="C40" s="49"/>
      <c r="D40" s="49"/>
      <c r="E40" s="49"/>
    </row>
    <row r="41" spans="1:5" ht="30" customHeight="1" x14ac:dyDescent="0.45">
      <c r="A41" s="31" t="s">
        <v>102</v>
      </c>
      <c r="B41" s="32" t="str">
        <f>IF('Document &amp; Task Library'!C45="","",'Document &amp; Task Library'!C45)</f>
        <v>Complete Enrollment - Renalogic</v>
      </c>
      <c r="C41" s="27" t="str">
        <f>IF('Document &amp; Task Library'!H45="","",'Document &amp; Task Library'!H45)</f>
        <v>Activates Renalogic for your members</v>
      </c>
      <c r="D41" s="33" t="str">
        <f>IF('Document &amp; Task Library'!E45="ALWAYS","Yes",IFERROR(INDEX('Client Setup'!$D$12:$D$38,MATCH('Document &amp; Task Library'!E45,'Client Setup'!$B$12:$B$38,0)),"No"))</f>
        <v>No</v>
      </c>
      <c r="E41" s="34"/>
    </row>
    <row r="42" spans="1:5" ht="42" hidden="1" customHeight="1" outlineLevel="1" x14ac:dyDescent="0.35">
      <c r="A42" s="35"/>
      <c r="B42" s="49" t="str">
        <f>"Why it matters:  "&amp;'Document &amp; Task Library'!I45&amp;"     What to expect:  "&amp;'Document &amp; Task Library'!J45</f>
        <v>Why it matters:  Finalize the eligibility feed and member enrollment setup with Renalogic so the solution is active for members at go-live.     What to expect:  Coordinated on the vendor kickoff call above; exact timing varies by vendor.</v>
      </c>
      <c r="C42" s="49"/>
      <c r="D42" s="49"/>
      <c r="E42" s="49"/>
    </row>
    <row r="43" spans="1:5" ht="30" customHeight="1" x14ac:dyDescent="0.45">
      <c r="A43" s="31" t="s">
        <v>102</v>
      </c>
      <c r="B43" s="32" t="str">
        <f>IF('Document &amp; Task Library'!C46="","",'Document &amp; Task Library'!C46)</f>
        <v>Complete Enrollment - Rightway</v>
      </c>
      <c r="C43" s="27" t="str">
        <f>IF('Document &amp; Task Library'!H46="","",'Document &amp; Task Library'!H46)</f>
        <v>Activates Rightway for your members</v>
      </c>
      <c r="D43" s="33" t="str">
        <f>IF('Document &amp; Task Library'!E46="ALWAYS","Yes",IFERROR(INDEX('Client Setup'!$D$12:$D$38,MATCH('Document &amp; Task Library'!E46,'Client Setup'!$B$12:$B$38,0)),"No"))</f>
        <v>No</v>
      </c>
      <c r="E43" s="34"/>
    </row>
    <row r="44" spans="1:5" ht="42" hidden="1" customHeight="1" outlineLevel="1" x14ac:dyDescent="0.35">
      <c r="A44" s="35"/>
      <c r="B44" s="49" t="str">
        <f>"Why it matters:  "&amp;'Document &amp; Task Library'!I46&amp;"     What to expect:  "&amp;'Document &amp; Task Library'!J46</f>
        <v>Why it matters:  Finalize the eligibility feed and member enrollment setup with Rightway so the solution is active for members at go-live.     What to expect:  Coordinated on the vendor kickoff call above; exact timing varies by vendor.</v>
      </c>
      <c r="C44" s="49"/>
      <c r="D44" s="49"/>
      <c r="E44" s="49"/>
    </row>
    <row r="45" spans="1:5" ht="30" customHeight="1" x14ac:dyDescent="0.45">
      <c r="A45" s="31" t="s">
        <v>102</v>
      </c>
      <c r="B45" s="32" t="str">
        <f>IF('Document &amp; Task Library'!C47="","",'Document &amp; Task Library'!C47)</f>
        <v>Complete Enrollment - SmartConnect (powered by SmartMatch)</v>
      </c>
      <c r="C45" s="27" t="str">
        <f>IF('Document &amp; Task Library'!H47="","",'Document &amp; Task Library'!H47)</f>
        <v>Activates SmartConnect (powered by SmartMatch) for your members</v>
      </c>
      <c r="D45" s="33" t="str">
        <f>IF('Document &amp; Task Library'!E47="ALWAYS","Yes",IFERROR(INDEX('Client Setup'!$D$12:$D$38,MATCH('Document &amp; Task Library'!E47,'Client Setup'!$B$12:$B$38,0)),"No"))</f>
        <v>No</v>
      </c>
      <c r="E45" s="34"/>
    </row>
    <row r="46" spans="1:5" ht="42" hidden="1" customHeight="1" outlineLevel="1" x14ac:dyDescent="0.35">
      <c r="A46" s="35"/>
      <c r="B46" s="49" t="str">
        <f>"Why it matters:  "&amp;'Document &amp; Task Library'!I47&amp;"     What to expect:  "&amp;'Document &amp; Task Library'!J47</f>
        <v>Why it matters:  Finalize the eligibility feed and member enrollment setup with SmartConnect (powered by SmartMatch) so the solution is active for members at go-live.     What to expect:  Coordinated on the vendor kickoff call above; exact timing varies by vendor.</v>
      </c>
      <c r="C46" s="49"/>
      <c r="D46" s="49"/>
      <c r="E46" s="49"/>
    </row>
    <row r="47" spans="1:5" ht="30" customHeight="1" x14ac:dyDescent="0.45">
      <c r="A47" s="31" t="s">
        <v>102</v>
      </c>
      <c r="B47" s="32" t="str">
        <f>IF('Document &amp; Task Library'!C48="","",'Document &amp; Task Library'!C48)</f>
        <v>Complete Enrollment - Springbuk</v>
      </c>
      <c r="C47" s="27" t="str">
        <f>IF('Document &amp; Task Library'!H48="","",'Document &amp; Task Library'!H48)</f>
        <v>Activates Springbuk for your members</v>
      </c>
      <c r="D47" s="33" t="str">
        <f>IF('Document &amp; Task Library'!E48="ALWAYS","Yes",IFERROR(INDEX('Client Setup'!$D$12:$D$38,MATCH('Document &amp; Task Library'!E48,'Client Setup'!$B$12:$B$38,0)),"No"))</f>
        <v>No</v>
      </c>
      <c r="E47" s="34"/>
    </row>
    <row r="48" spans="1:5" ht="42" hidden="1" customHeight="1" outlineLevel="1" x14ac:dyDescent="0.35">
      <c r="A48" s="35"/>
      <c r="B48" s="49" t="str">
        <f>"Why it matters:  "&amp;'Document &amp; Task Library'!I48&amp;"     What to expect:  "&amp;'Document &amp; Task Library'!J48</f>
        <v>Why it matters:  Finalize the eligibility feed and member enrollment setup with Springbuk so the solution is active for members at go-live.     What to expect:  Coordinated on the vendor kickoff call above; exact timing varies by vendor.</v>
      </c>
      <c r="C48" s="49"/>
      <c r="D48" s="49"/>
      <c r="E48" s="49"/>
    </row>
    <row r="49" spans="1:5" ht="30" customHeight="1" x14ac:dyDescent="0.45">
      <c r="A49" s="31" t="s">
        <v>102</v>
      </c>
      <c r="B49" s="32" t="str">
        <f>IF('Document &amp; Task Library'!C49="","",'Document &amp; Task Library'!C49)</f>
        <v>Complete Enrollment - Valenz Health</v>
      </c>
      <c r="C49" s="27" t="str">
        <f>IF('Document &amp; Task Library'!H49="","",'Document &amp; Task Library'!H49)</f>
        <v>Activates Valenz Health for your members</v>
      </c>
      <c r="D49" s="33" t="str">
        <f>IF('Document &amp; Task Library'!E49="ALWAYS","Yes",IFERROR(INDEX('Client Setup'!$D$12:$D$38,MATCH('Document &amp; Task Library'!E49,'Client Setup'!$B$12:$B$38,0)),"No"))</f>
        <v>No</v>
      </c>
      <c r="E49" s="34"/>
    </row>
    <row r="50" spans="1:5" ht="42" hidden="1" customHeight="1" outlineLevel="1" x14ac:dyDescent="0.35">
      <c r="A50" s="35"/>
      <c r="B50" s="49" t="str">
        <f>"Why it matters:  "&amp;'Document &amp; Task Library'!I49&amp;"     What to expect:  "&amp;'Document &amp; Task Library'!J49</f>
        <v>Why it matters:  Finalize the eligibility feed and member enrollment setup with Valenz Health so the solution is active for members at go-live.     What to expect:  Coordinated on the vendor kickoff call above; exact timing varies by vendor.</v>
      </c>
      <c r="C50" s="49"/>
      <c r="D50" s="49"/>
      <c r="E50" s="49"/>
    </row>
  </sheetData>
  <autoFilter ref="A5:E50" xr:uid="{00000000-0009-0000-0000-000003000000}"/>
  <mergeCells count="27">
    <mergeCell ref="B48:E48"/>
    <mergeCell ref="B50:E50"/>
    <mergeCell ref="B38:E38"/>
    <mergeCell ref="B40:E40"/>
    <mergeCell ref="B42:E42"/>
    <mergeCell ref="B44:E44"/>
    <mergeCell ref="B46:E46"/>
    <mergeCell ref="B28:E28"/>
    <mergeCell ref="B30:E30"/>
    <mergeCell ref="B32:E32"/>
    <mergeCell ref="B34:E34"/>
    <mergeCell ref="B36:E36"/>
    <mergeCell ref="B19:E19"/>
    <mergeCell ref="B21:E21"/>
    <mergeCell ref="B23:E23"/>
    <mergeCell ref="A24:E24"/>
    <mergeCell ref="B26:E26"/>
    <mergeCell ref="B10:E10"/>
    <mergeCell ref="B12:E12"/>
    <mergeCell ref="B14:E14"/>
    <mergeCell ref="A15:E15"/>
    <mergeCell ref="B17:E17"/>
    <mergeCell ref="A1:E1"/>
    <mergeCell ref="A2:E2"/>
    <mergeCell ref="A3:E3"/>
    <mergeCell ref="A6:E6"/>
    <mergeCell ref="B8:E8"/>
  </mergeCells>
  <conditionalFormatting sqref="A6:A50">
    <cfRule type="expression" dxfId="11" priority="3">
      <formula>$A6="Complete"</formula>
    </cfRule>
    <cfRule type="expression" dxfId="10" priority="4">
      <formula>$A6="In Progress"</formula>
    </cfRule>
  </conditionalFormatting>
  <conditionalFormatting sqref="A6:E50">
    <cfRule type="expression" dxfId="9" priority="2">
      <formula>$D6="No"</formula>
    </cfRule>
  </conditionalFormatting>
  <dataValidations count="1">
    <dataValidation type="list" allowBlank="1" sqref="A7 A9 A11 A13 A16 A18 A20 A22 A25 A27 A29 A31 A33 A35 A37 A39 A41 A43 A45 A47 A49" xr:uid="{00000000-0002-0000-0300-000000000000}">
      <formula1>"Not Started,In Progress,Complete,N/A"</formula1>
      <formula2>0</formula2>
    </dataValidation>
  </dataValidations>
  <pageMargins left="0.4" right="0.4" top="0.5" bottom="0.5"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FB24E"/>
    <pageSetUpPr fitToPage="1"/>
  </sheetPr>
  <dimension ref="A1:E18"/>
  <sheetViews>
    <sheetView showGridLines="0" zoomScaleNormal="100" workbookViewId="0">
      <pane ySplit="5" topLeftCell="A6" activePane="bottomLeft" state="frozen"/>
      <selection pane="bottomLeft"/>
    </sheetView>
  </sheetViews>
  <sheetFormatPr defaultColWidth="8.6328125" defaultRowHeight="14.5" outlineLevelRow="1" x14ac:dyDescent="0.35"/>
  <cols>
    <col min="1" max="1" width="15" customWidth="1"/>
    <col min="2" max="2" width="34" customWidth="1"/>
    <col min="3" max="3" width="46" customWidth="1"/>
    <col min="4" max="4" width="11" customWidth="1"/>
    <col min="5" max="5" width="13" customWidth="1"/>
  </cols>
  <sheetData>
    <row r="1" spans="1:5" ht="30" customHeight="1" x14ac:dyDescent="0.35">
      <c r="A1" s="9" t="s">
        <v>105</v>
      </c>
      <c r="B1" s="9"/>
      <c r="C1" s="9"/>
      <c r="D1" s="9"/>
      <c r="E1" s="9"/>
    </row>
    <row r="2" spans="1:5" ht="16" x14ac:dyDescent="0.5">
      <c r="A2" s="6" t="str">
        <f>"Prepared for "&amp;'Client Setup'!$C$4&amp;"   |   "&amp;'Client Setup'!$C$8</f>
        <v>Prepared for Example Employer, Inc.   |   New to Self-Funding</v>
      </c>
      <c r="B2" s="6"/>
      <c r="C2" s="6"/>
      <c r="D2" s="6"/>
      <c r="E2" s="6"/>
    </row>
    <row r="3" spans="1:5" ht="24" customHeight="1" x14ac:dyDescent="0.45">
      <c r="A3" s="48" t="s">
        <v>106</v>
      </c>
      <c r="B3" s="48"/>
      <c r="C3" s="48"/>
      <c r="D3" s="48"/>
      <c r="E3" s="48"/>
    </row>
    <row r="5" spans="1:5" ht="19.5" customHeight="1" x14ac:dyDescent="0.35">
      <c r="A5" s="30" t="s">
        <v>97</v>
      </c>
      <c r="B5" s="30" t="s">
        <v>78</v>
      </c>
      <c r="C5" s="30" t="s">
        <v>98</v>
      </c>
      <c r="D5" s="30" t="s">
        <v>99</v>
      </c>
      <c r="E5" s="30" t="s">
        <v>100</v>
      </c>
    </row>
    <row r="6" spans="1:5" ht="21.75" customHeight="1" x14ac:dyDescent="0.35">
      <c r="A6" s="50" t="s">
        <v>101</v>
      </c>
      <c r="B6" s="50"/>
      <c r="C6" s="50"/>
      <c r="D6" s="50"/>
      <c r="E6" s="50"/>
    </row>
    <row r="7" spans="1:5" ht="30" customHeight="1" x14ac:dyDescent="0.45">
      <c r="A7" s="31" t="s">
        <v>102</v>
      </c>
      <c r="B7" s="32" t="str">
        <f>IF('Document &amp; Task Library'!C9="","",'Document &amp; Task Library'!C9)</f>
        <v>Banking Implementation Calls</v>
      </c>
      <c r="C7" s="27" t="str">
        <f>IF('Document &amp; Task Library'!H9="","",'Document &amp; Task Library'!H9)</f>
        <v>Sets up claims funding with your TPA and bank</v>
      </c>
      <c r="D7" s="33" t="str">
        <f>IF('Document &amp; Task Library'!E9="ALWAYS","Yes",IFERROR(INDEX('Client Setup'!$D$12:$D$38,MATCH('Document &amp; Task Library'!E9,'Client Setup'!$B$12:$B$38,0)),"No"))</f>
        <v>Yes</v>
      </c>
      <c r="E7" s="34"/>
    </row>
    <row r="8" spans="1:5" ht="42" hidden="1" customHeight="1" outlineLevel="1" x14ac:dyDescent="0.35">
      <c r="A8" s="35"/>
      <c r="B8" s="49" t="str">
        <f>"Why it matters:  "&amp;'Document &amp; Task Library'!I9&amp;"     What to expect:  "&amp;'Document &amp; Task Library'!J9</f>
        <v>Why it matters:  Calls with the TPA and bank to set up the claims funding account, wire/ACH authorization, and daily funding process.     What to expect:  1-2 calls. Finance should have bank signer authorization ready in advance.</v>
      </c>
      <c r="C8" s="49"/>
      <c r="D8" s="49"/>
      <c r="E8" s="49"/>
    </row>
    <row r="9" spans="1:5" ht="30" customHeight="1" x14ac:dyDescent="0.45">
      <c r="A9" s="31" t="s">
        <v>102</v>
      </c>
      <c r="B9" s="32" t="str">
        <f>IF('Document &amp; Task Library'!C10="","",'Document &amp; Task Library'!C10)</f>
        <v>Coverage Determination Calls (Optional)</v>
      </c>
      <c r="C9" s="27" t="str">
        <f>IF('Document &amp; Task Library'!H10="","",'Document &amp; Task Library'!H10)</f>
        <v>Optional review of how high-cost claims will be paid</v>
      </c>
      <c r="D9" s="33" t="str">
        <f>IF('Document &amp; Task Library'!E10="ALWAYS","Yes",IFERROR(INDEX('Client Setup'!$D$12:$D$38,MATCH('Document &amp; Task Library'!E10,'Client Setup'!$B$12:$B$38,0)),"No"))</f>
        <v>No</v>
      </c>
      <c r="E9" s="34"/>
    </row>
    <row r="10" spans="1:5" ht="42" hidden="1" customHeight="1" outlineLevel="1" x14ac:dyDescent="0.35">
      <c r="A10" s="35"/>
      <c r="B10" s="49" t="str">
        <f>"Why it matters:  "&amp;'Document &amp; Task Library'!I10&amp;"     What to expect:  "&amp;'Document &amp; Task Library'!J10</f>
        <v>Why it matters:  Optional calls where Finance reviews how specific high-cost claims will be adjudicated under the new plan design.     What to expect:  Scheduled only if Finance opts in on the Setup tab; typically one call.</v>
      </c>
      <c r="C10" s="49"/>
      <c r="D10" s="49"/>
      <c r="E10" s="49"/>
    </row>
    <row r="11" spans="1:5" ht="21.75" customHeight="1" x14ac:dyDescent="0.35">
      <c r="A11" s="50" t="s">
        <v>107</v>
      </c>
      <c r="B11" s="50"/>
      <c r="C11" s="50"/>
      <c r="D11" s="50"/>
      <c r="E11" s="50"/>
    </row>
    <row r="12" spans="1:5" ht="30" customHeight="1" x14ac:dyDescent="0.45">
      <c r="A12" s="31" t="s">
        <v>102</v>
      </c>
      <c r="B12" s="32" t="str">
        <f>IF('Document &amp; Task Library'!C17="","",'Document &amp; Task Library'!C17)</f>
        <v>Captive Capital Invoice</v>
      </c>
      <c r="C12" s="27" t="str">
        <f>IF('Document &amp; Task Library'!H17="","",'Document &amp; Task Library'!H17)</f>
        <v>Your required capital contribution to the captive</v>
      </c>
      <c r="D12" s="33" t="str">
        <f>IF('Document &amp; Task Library'!E17="ALWAYS","Yes",IFERROR(INDEX('Client Setup'!$D$12:$D$38,MATCH('Document &amp; Task Library'!E17,'Client Setup'!$B$12:$B$38,0)),"No"))</f>
        <v>No</v>
      </c>
      <c r="E12" s="34"/>
    </row>
    <row r="13" spans="1:5" ht="42" hidden="1" customHeight="1" outlineLevel="1" x14ac:dyDescent="0.35">
      <c r="A13" s="35"/>
      <c r="B13" s="49" t="str">
        <f>"Why it matters:  "&amp;'Document &amp; Task Library'!I17&amp;"     What to expect:  "&amp;'Document &amp; Task Library'!J17</f>
        <v>Why it matters:  Invoice for the client's required capital contribution to the captive, a standard condition of participation.     What to expect:  Payment due date is tied to the plan effective date. Confirm wire instructions with Finance before sending funds.</v>
      </c>
      <c r="C13" s="49"/>
      <c r="D13" s="49"/>
      <c r="E13" s="49"/>
    </row>
    <row r="14" spans="1:5" ht="21.75" customHeight="1" x14ac:dyDescent="0.35">
      <c r="A14" s="50" t="s">
        <v>108</v>
      </c>
      <c r="B14" s="50"/>
      <c r="C14" s="50"/>
      <c r="D14" s="50"/>
      <c r="E14" s="50"/>
    </row>
    <row r="15" spans="1:5" ht="30" customHeight="1" x14ac:dyDescent="0.45">
      <c r="A15" s="31" t="s">
        <v>102</v>
      </c>
      <c r="B15" s="32" t="str">
        <f>IF('Document &amp; Task Library'!C35="","",'Document &amp; Task Library'!C35)</f>
        <v>Establish Bank Account for Benefits</v>
      </c>
      <c r="C15" s="27" t="str">
        <f>IF('Document &amp; Task Library'!H35="","",'Document &amp; Task Library'!H35)</f>
        <v>Opens the account that funds claims payments</v>
      </c>
      <c r="D15" s="33" t="str">
        <f>IF('Document &amp; Task Library'!E35="ALWAYS","Yes",IFERROR(INDEX('Client Setup'!$D$12:$D$38,MATCH('Document &amp; Task Library'!E35,'Client Setup'!$B$12:$B$38,0)),"No"))</f>
        <v>Yes</v>
      </c>
      <c r="E15" s="34"/>
    </row>
    <row r="16" spans="1:5" ht="42" hidden="1" customHeight="1" outlineLevel="1" x14ac:dyDescent="0.35">
      <c r="A16" s="35"/>
      <c r="B16" s="49" t="str">
        <f>"Why it matters:  "&amp;'Document &amp; Task Library'!I35&amp;"     What to expect:  "&amp;'Document &amp; Task Library'!J35</f>
        <v>Why it matters:  Open the dedicated bank account used to fund claims payments under the self-funded plan.     What to expect:  Banks typically need 5-10 business days. Start this early.</v>
      </c>
      <c r="C16" s="49"/>
      <c r="D16" s="49"/>
      <c r="E16" s="49"/>
    </row>
    <row r="17" spans="1:5" ht="30" customHeight="1" x14ac:dyDescent="0.45">
      <c r="A17" s="31" t="s">
        <v>102</v>
      </c>
      <c r="B17" s="32" t="str">
        <f>IF('Document &amp; Task Library'!C36="","",'Document &amp; Task Library'!C36)</f>
        <v>Review Sample Check Registers</v>
      </c>
      <c r="C17" s="27" t="str">
        <f>IF('Document &amp; Task Library'!H36="","",'Document &amp; Task Library'!H36)</f>
        <v>Confirms your claims funding and reporting format</v>
      </c>
      <c r="D17" s="33" t="str">
        <f>IF('Document &amp; Task Library'!E36="ALWAYS","Yes",IFERROR(INDEX('Client Setup'!$D$12:$D$38,MATCH('Document &amp; Task Library'!E36,'Client Setup'!$B$12:$B$38,0)),"No"))</f>
        <v>Yes</v>
      </c>
      <c r="E17" s="34"/>
    </row>
    <row r="18" spans="1:5" ht="42" hidden="1" customHeight="1" outlineLevel="1" x14ac:dyDescent="0.35">
      <c r="A18" s="35"/>
      <c r="B18" s="49" t="str">
        <f>"Why it matters:  "&amp;'Document &amp; Task Library'!I36&amp;"     What to expect:  "&amp;'Document &amp; Task Library'!J36</f>
        <v>Why it matters:  Review sample TPA check registers to confirm the funding and reporting format Finance will receive going forward.     What to expect:  One-time review that sets up Finance's ongoing reconciliation process.</v>
      </c>
      <c r="C18" s="49"/>
      <c r="D18" s="49"/>
      <c r="E18" s="49"/>
    </row>
  </sheetData>
  <autoFilter ref="A5:E18" xr:uid="{00000000-0009-0000-0000-000004000000}"/>
  <mergeCells count="11">
    <mergeCell ref="B18:E18"/>
    <mergeCell ref="B10:E10"/>
    <mergeCell ref="A11:E11"/>
    <mergeCell ref="B13:E13"/>
    <mergeCell ref="A14:E14"/>
    <mergeCell ref="B16:E16"/>
    <mergeCell ref="A1:E1"/>
    <mergeCell ref="A2:E2"/>
    <mergeCell ref="A3:E3"/>
    <mergeCell ref="A6:E6"/>
    <mergeCell ref="B8:E8"/>
  </mergeCells>
  <conditionalFormatting sqref="A6:A18">
    <cfRule type="expression" dxfId="8" priority="3">
      <formula>$A6="Complete"</formula>
    </cfRule>
    <cfRule type="expression" dxfId="7" priority="4">
      <formula>$A6="In Progress"</formula>
    </cfRule>
  </conditionalFormatting>
  <conditionalFormatting sqref="A6:E18">
    <cfRule type="expression" dxfId="6" priority="2">
      <formula>$D6="No"</formula>
    </cfRule>
  </conditionalFormatting>
  <dataValidations count="1">
    <dataValidation type="list" allowBlank="1" sqref="A7 A9 A12 A15 A17" xr:uid="{00000000-0002-0000-0400-000000000000}">
      <formula1>"Not Started,In Progress,Complete,N/A"</formula1>
      <formula2>0</formula2>
    </dataValidation>
  </dataValidations>
  <pageMargins left="0.4" right="0.4" top="0.5" bottom="0.5"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666"/>
    <pageSetUpPr fitToPage="1"/>
  </sheetPr>
  <dimension ref="A1:E46"/>
  <sheetViews>
    <sheetView showGridLines="0" zoomScaleNormal="100" workbookViewId="0">
      <pane ySplit="5" topLeftCell="A6" activePane="bottomLeft" state="frozen"/>
      <selection pane="bottomLeft"/>
    </sheetView>
  </sheetViews>
  <sheetFormatPr defaultColWidth="8.6328125" defaultRowHeight="14.5" outlineLevelRow="1" x14ac:dyDescent="0.35"/>
  <cols>
    <col min="1" max="1" width="15" customWidth="1"/>
    <col min="2" max="2" width="34" customWidth="1"/>
    <col min="3" max="3" width="46" customWidth="1"/>
    <col min="4" max="4" width="11" customWidth="1"/>
    <col min="5" max="5" width="13" customWidth="1"/>
  </cols>
  <sheetData>
    <row r="1" spans="1:5" ht="30" customHeight="1" x14ac:dyDescent="0.35">
      <c r="A1" s="9" t="s">
        <v>109</v>
      </c>
      <c r="B1" s="9"/>
      <c r="C1" s="9"/>
      <c r="D1" s="9"/>
      <c r="E1" s="9"/>
    </row>
    <row r="2" spans="1:5" ht="16" x14ac:dyDescent="0.5">
      <c r="A2" s="6" t="str">
        <f>"Prepared for "&amp;'Client Setup'!$C$4&amp;"   |   "&amp;'Client Setup'!$C$8</f>
        <v>Prepared for Example Employer, Inc.   |   New to Self-Funding</v>
      </c>
      <c r="B2" s="6"/>
      <c r="C2" s="6"/>
      <c r="D2" s="6"/>
      <c r="E2" s="6"/>
    </row>
    <row r="3" spans="1:5" ht="24" customHeight="1" x14ac:dyDescent="0.45">
      <c r="A3" s="48" t="s">
        <v>110</v>
      </c>
      <c r="B3" s="48"/>
      <c r="C3" s="48"/>
      <c r="D3" s="48"/>
      <c r="E3" s="48"/>
    </row>
    <row r="5" spans="1:5" ht="19.5" customHeight="1" x14ac:dyDescent="0.35">
      <c r="A5" s="30" t="s">
        <v>97</v>
      </c>
      <c r="B5" s="30" t="s">
        <v>78</v>
      </c>
      <c r="C5" s="30" t="s">
        <v>98</v>
      </c>
      <c r="D5" s="30" t="s">
        <v>99</v>
      </c>
      <c r="E5" s="30" t="s">
        <v>100</v>
      </c>
    </row>
    <row r="6" spans="1:5" ht="21.75" customHeight="1" x14ac:dyDescent="0.35">
      <c r="A6" s="51" t="s">
        <v>107</v>
      </c>
      <c r="B6" s="51"/>
      <c r="C6" s="51"/>
      <c r="D6" s="51"/>
      <c r="E6" s="51"/>
    </row>
    <row r="7" spans="1:5" ht="30" customHeight="1" x14ac:dyDescent="0.45">
      <c r="A7" s="31" t="s">
        <v>102</v>
      </c>
      <c r="B7" s="32" t="str">
        <f>IF('Document &amp; Task Library'!C11="","",'Document &amp; Task Library'!C11)</f>
        <v>TPA Admin Service Agreement</v>
      </c>
      <c r="C7" s="27" t="str">
        <f>IF('Document &amp; Task Library'!H11="","",'Document &amp; Task Library'!H11)</f>
        <v>The core contract governing claims administration</v>
      </c>
      <c r="D7" s="33" t="str">
        <f>IF('Document &amp; Task Library'!E11="ALWAYS","Yes",IFERROR(INDEX('Client Setup'!$D$12:$D$38,MATCH('Document &amp; Task Library'!E11,'Client Setup'!$B$12:$B$38,0)),"No"))</f>
        <v>Yes</v>
      </c>
      <c r="E7" s="34"/>
    </row>
    <row r="8" spans="1:5" ht="42" hidden="1" customHeight="1" outlineLevel="1" x14ac:dyDescent="0.35">
      <c r="A8" s="35"/>
      <c r="B8" s="49" t="str">
        <f>"Why it matters:  "&amp;'Document &amp; Task Library'!I11&amp;"     What to expect:  "&amp;'Document &amp; Task Library'!J11</f>
        <v>Why it matters:  The core administrative services contract with the Third Party Administrator. It governs claims processing, customer service, and reporting for the life of the agreement.     What to expect:  Legal/CFO review is recommended. Typical turnaround is 5-10 business days once terms are finalized.</v>
      </c>
      <c r="C8" s="49"/>
      <c r="D8" s="49"/>
      <c r="E8" s="49"/>
    </row>
    <row r="9" spans="1:5" ht="30" customHeight="1" x14ac:dyDescent="0.45">
      <c r="A9" s="31" t="s">
        <v>102</v>
      </c>
      <c r="B9" s="32" t="str">
        <f>IF('Document &amp; Task Library'!C12="","",'Document &amp; Task Library'!C12)</f>
        <v>Stop-Loss Quote</v>
      </c>
      <c r="C9" s="27" t="str">
        <f>IF('Document &amp; Task Library'!H12="","",'Document &amp; Task Library'!H12)</f>
        <v>Locks in your stop-loss pricing and terms</v>
      </c>
      <c r="D9" s="33" t="str">
        <f>IF('Document &amp; Task Library'!E12="ALWAYS","Yes",IFERROR(INDEX('Client Setup'!$D$12:$D$38,MATCH('Document &amp; Task Library'!E12,'Client Setup'!$B$12:$B$38,0)),"No"))</f>
        <v>Yes</v>
      </c>
      <c r="E9" s="34"/>
    </row>
    <row r="10" spans="1:5" ht="42" hidden="1" customHeight="1" outlineLevel="1" x14ac:dyDescent="0.35">
      <c r="A10" s="35"/>
      <c r="B10" s="49" t="str">
        <f>"Why it matters:  "&amp;'Document &amp; Task Library'!I12&amp;"     What to expect:  "&amp;'Document &amp; Task Library'!J12</f>
        <v>Why it matters:  The formal quote from the stop-loss carrier confirming premium, specific and aggregate deductibles, and contract basis (paid/incurred vs. incurred/paid).     What to expect:  Signature confirms acceptance of terms and locks in pricing. Usually due within 5-10 business days of receipt to hold the rate.</v>
      </c>
      <c r="C10" s="49"/>
      <c r="D10" s="49"/>
      <c r="E10" s="49"/>
    </row>
    <row r="11" spans="1:5" ht="30" customHeight="1" x14ac:dyDescent="0.45">
      <c r="A11" s="31" t="s">
        <v>102</v>
      </c>
      <c r="B11" s="32" t="str">
        <f>IF('Document &amp; Task Library'!C13="","",'Document &amp; Task Library'!C13)</f>
        <v>Stop-Loss Policy</v>
      </c>
      <c r="C11" s="27" t="str">
        <f>IF('Document &amp; Task Library'!H13="","",'Document &amp; Task Library'!H13)</f>
        <v>The binding policy that pays claims above deductible</v>
      </c>
      <c r="D11" s="33" t="str">
        <f>IF('Document &amp; Task Library'!E13="ALWAYS","Yes",IFERROR(INDEX('Client Setup'!$D$12:$D$38,MATCH('Document &amp; Task Library'!E13,'Client Setup'!$B$12:$B$38,0)),"No"))</f>
        <v>Yes</v>
      </c>
      <c r="E11" s="34"/>
    </row>
    <row r="12" spans="1:5" ht="42" hidden="1" customHeight="1" outlineLevel="1" x14ac:dyDescent="0.35">
      <c r="A12" s="35"/>
      <c r="B12" s="49" t="str">
        <f>"Why it matters:  "&amp;'Document &amp; Task Library'!I13&amp;"     What to expect:  "&amp;'Document &amp; Task Library'!J13</f>
        <v>Why it matters:  The binding insurance policy issued after the quote is accepted. This is the legal contract that pays claims above the deductible.     What to expect:  Issued after the quote is signed and the plan is bound. Review against the quote for accuracy.</v>
      </c>
      <c r="C12" s="49"/>
      <c r="D12" s="49"/>
      <c r="E12" s="49"/>
    </row>
    <row r="13" spans="1:5" ht="30" customHeight="1" x14ac:dyDescent="0.45">
      <c r="A13" s="31" t="s">
        <v>102</v>
      </c>
      <c r="B13" s="32" t="str">
        <f>IF('Document &amp; Task Library'!C14="","",'Document &amp; Task Library'!C14)</f>
        <v>PBM Master Agreement</v>
      </c>
      <c r="C13" s="27" t="str">
        <f>IF('Document &amp; Task Library'!H14="","",'Document &amp; Task Library'!H14)</f>
        <v>Governs pharmacy pricing and rebate terms</v>
      </c>
      <c r="D13" s="33" t="str">
        <f>IF('Document &amp; Task Library'!E14="ALWAYS","Yes",IFERROR(INDEX('Client Setup'!$D$12:$D$38,MATCH('Document &amp; Task Library'!E14,'Client Setup'!$B$12:$B$38,0)),"No"))</f>
        <v>Yes</v>
      </c>
      <c r="E13" s="34"/>
    </row>
    <row r="14" spans="1:5" ht="42" hidden="1" customHeight="1" outlineLevel="1" x14ac:dyDescent="0.35">
      <c r="A14" s="35"/>
      <c r="B14" s="49" t="str">
        <f>"Why it matters:  "&amp;'Document &amp; Task Library'!I14&amp;"     What to expect:  "&amp;'Document &amp; Task Library'!J14</f>
        <v>Why it matters:  The contract governing pharmacy claims processing, pricing guarantees, and rebate terms with the Pharmacy Benefit Manager.     What to expect:  Often the longest document in the packet. CFO/Authorized Signer review is recommended before signing.</v>
      </c>
      <c r="C14" s="49"/>
      <c r="D14" s="49"/>
      <c r="E14" s="49"/>
    </row>
    <row r="15" spans="1:5" ht="30" customHeight="1" x14ac:dyDescent="0.45">
      <c r="A15" s="31" t="s">
        <v>102</v>
      </c>
      <c r="B15" s="32" t="str">
        <f>IF('Document &amp; Task Library'!C15="","",'Document &amp; Task Library'!C15)</f>
        <v>PBM Implementation Manual</v>
      </c>
      <c r="C15" s="27" t="str">
        <f>IF('Document &amp; Task Library'!H15="","",'Document &amp; Task Library'!H15)</f>
        <v>Confirms formulary and prior authorization rules</v>
      </c>
      <c r="D15" s="33" t="str">
        <f>IF('Document &amp; Task Library'!E15="ALWAYS","Yes",IFERROR(INDEX('Client Setup'!$D$12:$D$38,MATCH('Document &amp; Task Library'!E15,'Client Setup'!$B$12:$B$38,0)),"No"))</f>
        <v>Yes</v>
      </c>
      <c r="E15" s="34"/>
    </row>
    <row r="16" spans="1:5" ht="42" hidden="1" customHeight="1" outlineLevel="1" x14ac:dyDescent="0.35">
      <c r="A16" s="35"/>
      <c r="B16" s="49" t="str">
        <f>"Why it matters:  "&amp;'Document &amp; Task Library'!I15&amp;"     What to expect:  "&amp;'Document &amp; Task Library'!J15</f>
        <v>Why it matters:  Operational reference confirming formulary, prior authorization criteria, and member communication timelines for go-live.     What to expect:  Typically an acknowledgment signature, not a negotiated contract.</v>
      </c>
      <c r="C16" s="49"/>
      <c r="D16" s="49"/>
      <c r="E16" s="49"/>
    </row>
    <row r="17" spans="1:5" ht="30" customHeight="1" x14ac:dyDescent="0.45">
      <c r="A17" s="31" t="s">
        <v>102</v>
      </c>
      <c r="B17" s="32" t="str">
        <f>IF('Document &amp; Task Library'!C16="","",'Document &amp; Task Library'!C16)</f>
        <v>Captive Agreement</v>
      </c>
      <c r="C17" s="27" t="str">
        <f>IF('Document &amp; Task Library'!H16="","",'Document &amp; Task Library'!H16)</f>
        <v>Governs your participation in the group captive</v>
      </c>
      <c r="D17" s="33" t="str">
        <f>IF('Document &amp; Task Library'!E16="ALWAYS","Yes",IFERROR(INDEX('Client Setup'!$D$12:$D$38,MATCH('Document &amp; Task Library'!E16,'Client Setup'!$B$12:$B$38,0)),"No"))</f>
        <v>No</v>
      </c>
      <c r="E17" s="34"/>
    </row>
    <row r="18" spans="1:5" ht="42" hidden="1" customHeight="1" outlineLevel="1" x14ac:dyDescent="0.35">
      <c r="A18" s="35"/>
      <c r="B18" s="49" t="str">
        <f>"Why it matters:  "&amp;'Document &amp; Task Library'!I16&amp;"     What to expect:  "&amp;'Document &amp; Task Library'!J16</f>
        <v>Why it matters:  The governing agreement (100+ pages) for participation in the group captive, covering member obligations, loss fund mechanics, and governance.     What to expect:  The most detailed document in the packet. Budget extra review time; CCIG can walk through the key sections before signing.</v>
      </c>
      <c r="C18" s="49"/>
      <c r="D18" s="49"/>
      <c r="E18" s="49"/>
    </row>
    <row r="19" spans="1:5" ht="30" customHeight="1" x14ac:dyDescent="0.45">
      <c r="A19" s="31" t="s">
        <v>102</v>
      </c>
      <c r="B19" s="32" t="str">
        <f>IF('Document &amp; Task Library'!C17="","",'Document &amp; Task Library'!C17)</f>
        <v>Captive Capital Invoice</v>
      </c>
      <c r="C19" s="27" t="str">
        <f>IF('Document &amp; Task Library'!H17="","",'Document &amp; Task Library'!H17)</f>
        <v>Your required capital contribution to the captive</v>
      </c>
      <c r="D19" s="33" t="str">
        <f>IF('Document &amp; Task Library'!E17="ALWAYS","Yes",IFERROR(INDEX('Client Setup'!$D$12:$D$38,MATCH('Document &amp; Task Library'!E17,'Client Setup'!$B$12:$B$38,0)),"No"))</f>
        <v>No</v>
      </c>
      <c r="E19" s="34"/>
    </row>
    <row r="20" spans="1:5" ht="42" hidden="1" customHeight="1" outlineLevel="1" x14ac:dyDescent="0.35">
      <c r="A20" s="35"/>
      <c r="B20" s="49" t="str">
        <f>"Why it matters:  "&amp;'Document &amp; Task Library'!I17&amp;"     What to expect:  "&amp;'Document &amp; Task Library'!J17</f>
        <v>Why it matters:  Invoice for the client's required capital contribution to the captive, a standard condition of participation.     What to expect:  Payment due date is tied to the plan effective date. Confirm wire instructions with Finance before sending funds.</v>
      </c>
      <c r="C20" s="49"/>
      <c r="D20" s="49"/>
      <c r="E20" s="49"/>
    </row>
    <row r="21" spans="1:5" ht="30" customHeight="1" x14ac:dyDescent="0.45">
      <c r="A21" s="31" t="s">
        <v>102</v>
      </c>
      <c r="B21" s="32" t="str">
        <f>IF('Document &amp; Task Library'!C18="","",'Document &amp; Task Library'!C18)</f>
        <v>Savings Engine Agreement - CancerCare</v>
      </c>
      <c r="C21" s="27" t="str">
        <f>IF('Document &amp; Task Library'!H18="","",'Document &amp; Task Library'!H18)</f>
        <v>Enrollment agreement with CancerCare</v>
      </c>
      <c r="D21" s="33" t="str">
        <f>IF('Document &amp; Task Library'!E18="ALWAYS","Yes",IFERROR(INDEX('Client Setup'!$D$12:$D$38,MATCH('Document &amp; Task Library'!E18,'Client Setup'!$B$12:$B$38,0)),"No"))</f>
        <v>No</v>
      </c>
      <c r="E21" s="34"/>
    </row>
    <row r="22" spans="1:5" ht="42" hidden="1" customHeight="1" outlineLevel="1" x14ac:dyDescent="0.35">
      <c r="A22" s="35"/>
      <c r="B22" s="49" t="str">
        <f>"Why it matters:  "&amp;'Document &amp; Task Library'!I18&amp;"     What to expect:  "&amp;'Document &amp; Task Library'!J18</f>
        <v>Why it matters:  Enrollment/services agreement with CancerCare, cancer care navigation and second-opinion support for members with a cancer diagnosis.     What to expect:  Signature authorizes data sharing and enrollment. Turnaround varies by vendor; confirm on the vendor kickoff call.</v>
      </c>
      <c r="C22" s="49"/>
      <c r="D22" s="49"/>
      <c r="E22" s="49"/>
    </row>
    <row r="23" spans="1:5" ht="30" customHeight="1" x14ac:dyDescent="0.45">
      <c r="A23" s="31" t="s">
        <v>102</v>
      </c>
      <c r="B23" s="32" t="str">
        <f>IF('Document &amp; Task Library'!C19="","",'Document &amp; Task Library'!C19)</f>
        <v>Savings Engine Agreement - eHealth</v>
      </c>
      <c r="C23" s="27" t="str">
        <f>IF('Document &amp; Task Library'!H19="","",'Document &amp; Task Library'!H19)</f>
        <v>Enrollment agreement with eHealth</v>
      </c>
      <c r="D23" s="33" t="str">
        <f>IF('Document &amp; Task Library'!E19="ALWAYS","Yes",IFERROR(INDEX('Client Setup'!$D$12:$D$38,MATCH('Document &amp; Task Library'!E19,'Client Setup'!$B$12:$B$38,0)),"No"))</f>
        <v>No</v>
      </c>
      <c r="E23" s="34"/>
    </row>
    <row r="24" spans="1:5" ht="42" hidden="1" customHeight="1" outlineLevel="1" x14ac:dyDescent="0.35">
      <c r="A24" s="35"/>
      <c r="B24" s="49" t="str">
        <f>"Why it matters:  "&amp;'Document &amp; Task Library'!I19&amp;"     What to expect:  "&amp;'Document &amp; Task Library'!J19</f>
        <v>Why it matters:  Enrollment/services agreement with eHealth, Medicare and ACA marketplace enrollment support, commonly used for retirees or employees losing group coverage.     What to expect:  Signature authorizes data sharing and enrollment. Turnaround varies by vendor; confirm on the vendor kickoff call.</v>
      </c>
      <c r="C24" s="49"/>
      <c r="D24" s="49"/>
      <c r="E24" s="49"/>
    </row>
    <row r="25" spans="1:5" ht="30" customHeight="1" x14ac:dyDescent="0.45">
      <c r="A25" s="31" t="s">
        <v>102</v>
      </c>
      <c r="B25" s="32" t="str">
        <f>IF('Document &amp; Task Library'!C20="","",'Document &amp; Task Library'!C20)</f>
        <v>Savings Engine Agreement - First Stop Health</v>
      </c>
      <c r="C25" s="27" t="str">
        <f>IF('Document &amp; Task Library'!H20="","",'Document &amp; Task Library'!H20)</f>
        <v>Enrollment agreement with First Stop Health</v>
      </c>
      <c r="D25" s="33" t="str">
        <f>IF('Document &amp; Task Library'!E20="ALWAYS","Yes",IFERROR(INDEX('Client Setup'!$D$12:$D$38,MATCH('Document &amp; Task Library'!E20,'Client Setup'!$B$12:$B$38,0)),"No"))</f>
        <v>No</v>
      </c>
      <c r="E25" s="34"/>
    </row>
    <row r="26" spans="1:5" ht="42" hidden="1" customHeight="1" outlineLevel="1" x14ac:dyDescent="0.35">
      <c r="A26" s="35"/>
      <c r="B26" s="49" t="str">
        <f>"Why it matters:  "&amp;'Document &amp; Task Library'!I20&amp;"     What to expect:  "&amp;'Document &amp; Task Library'!J20</f>
        <v>Why it matters:  Enrollment/services agreement with First Stop Health, 24/7 virtual primary and urgent care, giving members phone or video access to a doctor.     What to expect:  Signature authorizes data sharing and enrollment. Turnaround varies by vendor; confirm on the vendor kickoff call.</v>
      </c>
      <c r="C26" s="49"/>
      <c r="D26" s="49"/>
      <c r="E26" s="49"/>
    </row>
    <row r="27" spans="1:5" ht="30" customHeight="1" x14ac:dyDescent="0.45">
      <c r="A27" s="31" t="s">
        <v>102</v>
      </c>
      <c r="B27" s="32" t="str">
        <f>IF('Document &amp; Task Library'!C21="","",'Document &amp; Task Library'!C21)</f>
        <v>Savings Engine Agreement - Found</v>
      </c>
      <c r="C27" s="27" t="str">
        <f>IF('Document &amp; Task Library'!H21="","",'Document &amp; Task Library'!H21)</f>
        <v>Enrollment agreement with Found</v>
      </c>
      <c r="D27" s="33" t="str">
        <f>IF('Document &amp; Task Library'!E21="ALWAYS","Yes",IFERROR(INDEX('Client Setup'!$D$12:$D$38,MATCH('Document &amp; Task Library'!E21,'Client Setup'!$B$12:$B$38,0)),"No"))</f>
        <v>No</v>
      </c>
      <c r="E27" s="34"/>
    </row>
    <row r="28" spans="1:5" ht="42" hidden="1" customHeight="1" outlineLevel="1" x14ac:dyDescent="0.35">
      <c r="A28" s="35"/>
      <c r="B28" s="49" t="str">
        <f>"Why it matters:  "&amp;'Document &amp; Task Library'!I21&amp;"     What to expect:  "&amp;'Document &amp; Task Library'!J21</f>
        <v>Why it matters:  Enrollment/services agreement with Found, a physician-led weight management program pairing GLP-1 medication access with coaching, aimed at controlling GLP-1 drug spend.     What to expect:  Signature authorizes data sharing and enrollment. Turnaround varies by vendor; confirm on the vendor kickoff call.</v>
      </c>
      <c r="C28" s="49"/>
      <c r="D28" s="49"/>
      <c r="E28" s="49"/>
    </row>
    <row r="29" spans="1:5" ht="30" customHeight="1" x14ac:dyDescent="0.45">
      <c r="A29" s="31" t="s">
        <v>102</v>
      </c>
      <c r="B29" s="32" t="str">
        <f>IF('Document &amp; Task Library'!C22="","",'Document &amp; Task Library'!C22)</f>
        <v>Savings Engine Agreement - HUSK</v>
      </c>
      <c r="C29" s="27" t="str">
        <f>IF('Document &amp; Task Library'!H22="","",'Document &amp; Task Library'!H22)</f>
        <v>Enrollment agreement with HUSK</v>
      </c>
      <c r="D29" s="33" t="str">
        <f>IF('Document &amp; Task Library'!E22="ALWAYS","Yes",IFERROR(INDEX('Client Setup'!$D$12:$D$38,MATCH('Document &amp; Task Library'!E22,'Client Setup'!$B$12:$B$38,0)),"No"))</f>
        <v>No</v>
      </c>
      <c r="E29" s="34"/>
    </row>
    <row r="30" spans="1:5" ht="42" hidden="1" customHeight="1" outlineLevel="1" x14ac:dyDescent="0.35">
      <c r="A30" s="35"/>
      <c r="B30" s="49" t="str">
        <f>"Why it matters:  "&amp;'Document &amp; Task Library'!I22&amp;"     What to expect:  "&amp;'Document &amp; Task Library'!J22</f>
        <v>Why it matters:  Enrollment/services agreement with HUSK, a wellness ecosystem covering nutrition counseling, mental health support, and incentive rewards.     What to expect:  Signature authorizes data sharing and enrollment. Turnaround varies by vendor; confirm on the vendor kickoff call.</v>
      </c>
      <c r="C30" s="49"/>
      <c r="D30" s="49"/>
      <c r="E30" s="49"/>
    </row>
    <row r="31" spans="1:5" ht="30" customHeight="1" x14ac:dyDescent="0.45">
      <c r="A31" s="31" t="s">
        <v>102</v>
      </c>
      <c r="B31" s="32" t="str">
        <f>IF('Document &amp; Task Library'!C23="","",'Document &amp; Task Library'!C23)</f>
        <v>Savings Engine Agreement - Lyra Select</v>
      </c>
      <c r="C31" s="27" t="str">
        <f>IF('Document &amp; Task Library'!H23="","",'Document &amp; Task Library'!H23)</f>
        <v>Enrollment agreement with Lyra Select</v>
      </c>
      <c r="D31" s="33" t="str">
        <f>IF('Document &amp; Task Library'!E23="ALWAYS","Yes",IFERROR(INDEX('Client Setup'!$D$12:$D$38,MATCH('Document &amp; Task Library'!E23,'Client Setup'!$B$12:$B$38,0)),"No"))</f>
        <v>No</v>
      </c>
      <c r="E31" s="34"/>
    </row>
    <row r="32" spans="1:5" ht="42" hidden="1" customHeight="1" outlineLevel="1" x14ac:dyDescent="0.35">
      <c r="A32" s="35"/>
      <c r="B32" s="49" t="str">
        <f>"Why it matters:  "&amp;'Document &amp; Task Library'!I23&amp;"     What to expect:  "&amp;'Document &amp; Task Library'!J23</f>
        <v>Why it matters:  Enrollment/services agreement with Lyra Select, a mental health benefit connecting members to therapy and coaching.     What to expect:  Signature authorizes data sharing and enrollment. Turnaround varies by vendor; confirm on the vendor kickoff call.</v>
      </c>
      <c r="C32" s="49"/>
      <c r="D32" s="49"/>
      <c r="E32" s="49"/>
    </row>
    <row r="33" spans="1:5" ht="30" customHeight="1" x14ac:dyDescent="0.45">
      <c r="A33" s="31" t="s">
        <v>102</v>
      </c>
      <c r="B33" s="32" t="str">
        <f>IF('Document &amp; Task Library'!C24="","",'Document &amp; Task Library'!C24)</f>
        <v>Savings Engine Agreement - The Phia Group</v>
      </c>
      <c r="C33" s="27" t="str">
        <f>IF('Document &amp; Task Library'!H24="","",'Document &amp; Task Library'!H24)</f>
        <v>Enrollment agreement with The Phia Group</v>
      </c>
      <c r="D33" s="33" t="str">
        <f>IF('Document &amp; Task Library'!E24="ALWAYS","Yes",IFERROR(INDEX('Client Setup'!$D$12:$D$38,MATCH('Document &amp; Task Library'!E24,'Client Setup'!$B$12:$B$38,0)),"No"))</f>
        <v>No</v>
      </c>
      <c r="E33" s="34"/>
    </row>
    <row r="34" spans="1:5" ht="42" hidden="1" customHeight="1" outlineLevel="1" x14ac:dyDescent="0.35">
      <c r="A34" s="35"/>
      <c r="B34" s="49" t="str">
        <f>"Why it matters:  "&amp;'Document &amp; Task Library'!I24&amp;"     What to expect:  "&amp;'Document &amp; Task Library'!J24</f>
        <v>Why it matters:  Enrollment/services agreement with The Phia Group, benefit compliance and subrogation support, helping recover costs from third parties and reduce plan liability.     What to expect:  Signature authorizes data sharing and enrollment. Turnaround varies by vendor; confirm on the vendor kickoff call.</v>
      </c>
      <c r="C34" s="49"/>
      <c r="D34" s="49"/>
      <c r="E34" s="49"/>
    </row>
    <row r="35" spans="1:5" ht="30" customHeight="1" x14ac:dyDescent="0.45">
      <c r="A35" s="31" t="s">
        <v>102</v>
      </c>
      <c r="B35" s="32" t="str">
        <f>IF('Document &amp; Task Library'!C25="","",'Document &amp; Task Library'!C25)</f>
        <v>Savings Engine Agreement - Progeny Health</v>
      </c>
      <c r="C35" s="27" t="str">
        <f>IF('Document &amp; Task Library'!H25="","",'Document &amp; Task Library'!H25)</f>
        <v>Enrollment agreement with Progeny Health</v>
      </c>
      <c r="D35" s="33" t="str">
        <f>IF('Document &amp; Task Library'!E25="ALWAYS","Yes",IFERROR(INDEX('Client Setup'!$D$12:$D$38,MATCH('Document &amp; Task Library'!E25,'Client Setup'!$B$12:$B$38,0)),"No"))</f>
        <v>No</v>
      </c>
      <c r="E35" s="34"/>
    </row>
    <row r="36" spans="1:5" ht="42" hidden="1" customHeight="1" outlineLevel="1" x14ac:dyDescent="0.35">
      <c r="A36" s="35"/>
      <c r="B36" s="49" t="str">
        <f>"Why it matters:  "&amp;'Document &amp; Task Library'!I25&amp;"     What to expect:  "&amp;'Document &amp; Task Library'!J25</f>
        <v>Why it matters:  Enrollment/services agreement with Progeny Health, specialized case management for babies in the NICU, aimed at improving outcomes and controlling neonatal claim costs.     What to expect:  Signature authorizes data sharing and enrollment. Turnaround varies by vendor; confirm on the vendor kickoff call.</v>
      </c>
      <c r="C36" s="49"/>
      <c r="D36" s="49"/>
      <c r="E36" s="49"/>
    </row>
    <row r="37" spans="1:5" ht="30" customHeight="1" x14ac:dyDescent="0.45">
      <c r="A37" s="31" t="s">
        <v>102</v>
      </c>
      <c r="B37" s="32" t="str">
        <f>IF('Document &amp; Task Library'!C26="","",'Document &amp; Task Library'!C26)</f>
        <v>Savings Engine Agreement - Renalogic</v>
      </c>
      <c r="C37" s="27" t="str">
        <f>IF('Document &amp; Task Library'!H26="","",'Document &amp; Task Library'!H26)</f>
        <v>Enrollment agreement with Renalogic</v>
      </c>
      <c r="D37" s="33" t="str">
        <f>IF('Document &amp; Task Library'!E26="ALWAYS","Yes",IFERROR(INDEX('Client Setup'!$D$12:$D$38,MATCH('Document &amp; Task Library'!E26,'Client Setup'!$B$12:$B$38,0)),"No"))</f>
        <v>No</v>
      </c>
      <c r="E37" s="34"/>
    </row>
    <row r="38" spans="1:5" ht="42" hidden="1" customHeight="1" outlineLevel="1" x14ac:dyDescent="0.35">
      <c r="A38" s="35"/>
      <c r="B38" s="49" t="str">
        <f>"Why it matters:  "&amp;'Document &amp; Task Library'!I26&amp;"     What to expect:  "&amp;'Document &amp; Task Library'!J26</f>
        <v>Why it matters:  Enrollment/services agreement with Renalogic, chronic kidney disease and dialysis cost management, identifying at-risk members early and steering care to lower-cost, in-network dialysis providers.     What to expect:  Signature authorizes data sharing and enrollment. Turnaround varies by vendor; confirm on the vendor kickoff call.</v>
      </c>
      <c r="C38" s="49"/>
      <c r="D38" s="49"/>
      <c r="E38" s="49"/>
    </row>
    <row r="39" spans="1:5" ht="30" customHeight="1" x14ac:dyDescent="0.45">
      <c r="A39" s="31" t="s">
        <v>102</v>
      </c>
      <c r="B39" s="32" t="str">
        <f>IF('Document &amp; Task Library'!C27="","",'Document &amp; Task Library'!C27)</f>
        <v>Savings Engine Agreement - Rightway</v>
      </c>
      <c r="C39" s="27" t="str">
        <f>IF('Document &amp; Task Library'!H27="","",'Document &amp; Task Library'!H27)</f>
        <v>Enrollment agreement with Rightway</v>
      </c>
      <c r="D39" s="33" t="str">
        <f>IF('Document &amp; Task Library'!E27="ALWAYS","Yes",IFERROR(INDEX('Client Setup'!$D$12:$D$38,MATCH('Document &amp; Task Library'!E27,'Client Setup'!$B$12:$B$38,0)),"No"))</f>
        <v>No</v>
      </c>
      <c r="E39" s="34"/>
    </row>
    <row r="40" spans="1:5" ht="42" hidden="1" customHeight="1" outlineLevel="1" x14ac:dyDescent="0.35">
      <c r="A40" s="35"/>
      <c r="B40" s="49" t="str">
        <f>"Why it matters:  "&amp;'Document &amp; Task Library'!I27&amp;"     What to expect:  "&amp;'Document &amp; Task Library'!J27</f>
        <v>Why it matters:  Enrollment/services agreement with Rightway, care navigation and pharmacy guidance, helping members find in-network providers and compare costs for surgeries, imaging, and prescriptions.     What to expect:  Signature authorizes data sharing and enrollment. Turnaround varies by vendor; confirm on the vendor kickoff call.</v>
      </c>
      <c r="C40" s="49"/>
      <c r="D40" s="49"/>
      <c r="E40" s="49"/>
    </row>
    <row r="41" spans="1:5" ht="30" customHeight="1" x14ac:dyDescent="0.45">
      <c r="A41" s="31" t="s">
        <v>102</v>
      </c>
      <c r="B41" s="32" t="str">
        <f>IF('Document &amp; Task Library'!C28="","",'Document &amp; Task Library'!C28)</f>
        <v>Savings Engine Agreement - SmartConnect (powered by SmartMatch)</v>
      </c>
      <c r="C41" s="27" t="str">
        <f>IF('Document &amp; Task Library'!H28="","",'Document &amp; Task Library'!H28)</f>
        <v>Enrollment agreement with SmartConnect (powered by SmartMatch)</v>
      </c>
      <c r="D41" s="33" t="str">
        <f>IF('Document &amp; Task Library'!E28="ALWAYS","Yes",IFERROR(INDEX('Client Setup'!$D$12:$D$38,MATCH('Document &amp; Task Library'!E28,'Client Setup'!$B$12:$B$38,0)),"No"))</f>
        <v>No</v>
      </c>
      <c r="E41" s="34"/>
    </row>
    <row r="42" spans="1:5" ht="42" hidden="1" customHeight="1" outlineLevel="1" x14ac:dyDescent="0.35">
      <c r="A42" s="35"/>
      <c r="B42" s="49" t="str">
        <f>"Why it matters:  "&amp;'Document &amp; Task Library'!I28&amp;"     What to expect:  "&amp;'Document &amp; Task Library'!J28</f>
        <v>Why it matters:  Enrollment/services agreement with SmartConnect (powered by SmartMatch), Medicare enrollment support that helps Medicare-eligible employees and retirees compare and enroll in Medicare plans, reducing employer plan spend for that population.     What to expect:  Signature authorizes data sharing and enrollment. Turnaround varies by vendor; confirm on the vendor kickoff call.</v>
      </c>
      <c r="C42" s="49"/>
      <c r="D42" s="49"/>
      <c r="E42" s="49"/>
    </row>
    <row r="43" spans="1:5" ht="30" customHeight="1" x14ac:dyDescent="0.45">
      <c r="A43" s="31" t="s">
        <v>102</v>
      </c>
      <c r="B43" s="32" t="str">
        <f>IF('Document &amp; Task Library'!C29="","",'Document &amp; Task Library'!C29)</f>
        <v>Savings Engine Agreement - Springbuk</v>
      </c>
      <c r="C43" s="27" t="str">
        <f>IF('Document &amp; Task Library'!H29="","",'Document &amp; Task Library'!H29)</f>
        <v>Enrollment agreement with Springbuk</v>
      </c>
      <c r="D43" s="33" t="str">
        <f>IF('Document &amp; Task Library'!E29="ALWAYS","Yes",IFERROR(INDEX('Client Setup'!$D$12:$D$38,MATCH('Document &amp; Task Library'!E29,'Client Setup'!$B$12:$B$38,0)),"No"))</f>
        <v>No</v>
      </c>
      <c r="E43" s="34"/>
    </row>
    <row r="44" spans="1:5" ht="42" hidden="1" customHeight="1" outlineLevel="1" x14ac:dyDescent="0.35">
      <c r="A44" s="35"/>
      <c r="B44" s="49" t="str">
        <f>"Why it matters:  "&amp;'Document &amp; Task Library'!I29&amp;"     What to expect:  "&amp;'Document &amp; Task Library'!J29</f>
        <v>Why it matters:  Enrollment/services agreement with Springbuk, a health data analytics platform used to identify cost drivers and track plan performance.     What to expect:  Signature authorizes data sharing and enrollment. Turnaround varies by vendor; confirm on the vendor kickoff call.</v>
      </c>
      <c r="C44" s="49"/>
      <c r="D44" s="49"/>
      <c r="E44" s="49"/>
    </row>
    <row r="45" spans="1:5" ht="30" customHeight="1" x14ac:dyDescent="0.45">
      <c r="A45" s="31" t="s">
        <v>102</v>
      </c>
      <c r="B45" s="32" t="str">
        <f>IF('Document &amp; Task Library'!C30="","",'Document &amp; Task Library'!C30)</f>
        <v>Savings Engine Agreement - Valenz Health</v>
      </c>
      <c r="C45" s="27" t="str">
        <f>IF('Document &amp; Task Library'!H30="","",'Document &amp; Task Library'!H30)</f>
        <v>Enrollment agreement with Valenz Health</v>
      </c>
      <c r="D45" s="33" t="str">
        <f>IF('Document &amp; Task Library'!E30="ALWAYS","Yes",IFERROR(INDEX('Client Setup'!$D$12:$D$38,MATCH('Document &amp; Task Library'!E30,'Client Setup'!$B$12:$B$38,0)),"No"))</f>
        <v>No</v>
      </c>
      <c r="E45" s="34"/>
    </row>
    <row r="46" spans="1:5" ht="42" hidden="1" customHeight="1" outlineLevel="1" x14ac:dyDescent="0.35">
      <c r="A46" s="35"/>
      <c r="B46" s="49" t="str">
        <f>"Why it matters:  "&amp;'Document &amp; Task Library'!I30&amp;"     What to expect:  "&amp;'Document &amp; Task Library'!J30</f>
        <v>Why it matters:  Enrollment/services agreement with Valenz Health, claims cost containment and repricing support, including reference-based pricing and bill review to reduce high-cost claims.     What to expect:  Signature authorizes data sharing and enrollment. Turnaround varies by vendor; confirm on the vendor kickoff call.</v>
      </c>
      <c r="C46" s="49"/>
      <c r="D46" s="49"/>
      <c r="E46" s="49"/>
    </row>
  </sheetData>
  <autoFilter ref="A5:E46" xr:uid="{00000000-0009-0000-0000-000005000000}"/>
  <mergeCells count="24">
    <mergeCell ref="B40:E40"/>
    <mergeCell ref="B42:E42"/>
    <mergeCell ref="B44:E44"/>
    <mergeCell ref="B46:E46"/>
    <mergeCell ref="B30:E30"/>
    <mergeCell ref="B32:E32"/>
    <mergeCell ref="B34:E34"/>
    <mergeCell ref="B36:E36"/>
    <mergeCell ref="B38:E38"/>
    <mergeCell ref="B20:E20"/>
    <mergeCell ref="B22:E22"/>
    <mergeCell ref="B24:E24"/>
    <mergeCell ref="B26:E26"/>
    <mergeCell ref="B28:E28"/>
    <mergeCell ref="B10:E10"/>
    <mergeCell ref="B12:E12"/>
    <mergeCell ref="B14:E14"/>
    <mergeCell ref="B16:E16"/>
    <mergeCell ref="B18:E18"/>
    <mergeCell ref="A1:E1"/>
    <mergeCell ref="A2:E2"/>
    <mergeCell ref="A3:E3"/>
    <mergeCell ref="A6:E6"/>
    <mergeCell ref="B8:E8"/>
  </mergeCells>
  <conditionalFormatting sqref="A6:A46">
    <cfRule type="expression" dxfId="5" priority="3">
      <formula>$A6="Complete"</formula>
    </cfRule>
    <cfRule type="expression" dxfId="4" priority="4">
      <formula>$A6="In Progress"</formula>
    </cfRule>
  </conditionalFormatting>
  <conditionalFormatting sqref="A6:E46">
    <cfRule type="expression" dxfId="3" priority="2">
      <formula>$D6="No"</formula>
    </cfRule>
  </conditionalFormatting>
  <dataValidations count="1">
    <dataValidation type="list" allowBlank="1" sqref="A7 A9 A11 A13 A15 A17 A19 A21 A23 A25 A27 A29 A31 A33 A35 A37 A39 A41 A43 A45" xr:uid="{00000000-0002-0000-0500-000000000000}">
      <formula1>"Not Started,In Progress,Complete,N/A"</formula1>
      <formula2>0</formula2>
    </dataValidation>
  </dataValidations>
  <pageMargins left="0.4" right="0.4" top="0.5" bottom="0.5"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53243"/>
    <pageSetUpPr fitToPage="1"/>
  </sheetPr>
  <dimension ref="A1:G100"/>
  <sheetViews>
    <sheetView showGridLines="0" zoomScaleNormal="100" workbookViewId="0">
      <pane ySplit="5" topLeftCell="A6" activePane="bottomLeft" state="frozen"/>
      <selection pane="bottomLeft"/>
    </sheetView>
  </sheetViews>
  <sheetFormatPr defaultColWidth="8.6328125" defaultRowHeight="14.5" outlineLevelRow="1" x14ac:dyDescent="0.35"/>
  <cols>
    <col min="1" max="1" width="15" customWidth="1"/>
    <col min="2" max="2" width="32" customWidth="1"/>
    <col min="3" max="3" width="40" customWidth="1"/>
    <col min="4" max="4" width="20" customWidth="1"/>
    <col min="5" max="5" width="17" customWidth="1"/>
    <col min="6" max="6" width="11" customWidth="1"/>
    <col min="7" max="7" width="13" customWidth="1"/>
  </cols>
  <sheetData>
    <row r="1" spans="1:7" ht="30" customHeight="1" x14ac:dyDescent="0.35">
      <c r="A1" s="9" t="s">
        <v>111</v>
      </c>
      <c r="B1" s="9"/>
      <c r="C1" s="9"/>
      <c r="D1" s="9"/>
      <c r="E1" s="9"/>
      <c r="F1" s="9"/>
      <c r="G1" s="9"/>
    </row>
    <row r="2" spans="1:7" ht="16" x14ac:dyDescent="0.5">
      <c r="A2" s="6" t="str">
        <f>"Prepared for "&amp;'Client Setup'!$C$4&amp;"   |   "&amp;'Client Setup'!$C$8</f>
        <v>Prepared for Example Employer, Inc.   |   New to Self-Funding</v>
      </c>
      <c r="B2" s="6"/>
      <c r="C2" s="6"/>
      <c r="D2" s="6"/>
      <c r="E2" s="6"/>
      <c r="F2" s="6"/>
      <c r="G2" s="6"/>
    </row>
    <row r="3" spans="1:7" ht="24" customHeight="1" x14ac:dyDescent="0.45">
      <c r="A3" s="48" t="s">
        <v>112</v>
      </c>
      <c r="B3" s="48"/>
      <c r="C3" s="48"/>
      <c r="D3" s="48"/>
      <c r="E3" s="48"/>
      <c r="F3" s="48"/>
      <c r="G3" s="48"/>
    </row>
    <row r="5" spans="1:7" ht="19.5" customHeight="1" x14ac:dyDescent="0.35">
      <c r="A5" s="30" t="s">
        <v>97</v>
      </c>
      <c r="B5" s="30" t="s">
        <v>78</v>
      </c>
      <c r="C5" s="30" t="s">
        <v>98</v>
      </c>
      <c r="D5" s="30" t="s">
        <v>113</v>
      </c>
      <c r="E5" s="30" t="s">
        <v>114</v>
      </c>
      <c r="F5" s="30" t="s">
        <v>99</v>
      </c>
      <c r="G5" s="30" t="s">
        <v>100</v>
      </c>
    </row>
    <row r="6" spans="1:7" ht="21.75" customHeight="1" x14ac:dyDescent="0.35">
      <c r="A6" s="52" t="s">
        <v>101</v>
      </c>
      <c r="B6" s="52"/>
      <c r="C6" s="52"/>
      <c r="D6" s="52"/>
      <c r="E6" s="52"/>
      <c r="F6" s="52"/>
      <c r="G6" s="52"/>
    </row>
    <row r="7" spans="1:7" ht="30" customHeight="1" x14ac:dyDescent="0.45">
      <c r="A7" s="31" t="s">
        <v>102</v>
      </c>
      <c r="B7" s="32" t="str">
        <f>IF('Document &amp; Task Library'!C5="","",'Document &amp; Task Library'!C5)</f>
        <v>TPA &amp; Benefit Design Calls</v>
      </c>
      <c r="C7" s="27" t="str">
        <f>IF('Document &amp; Task Library'!H5="","",'Document &amp; Task Library'!H5)</f>
        <v>Finalizes plan design and claims setup with your TPA</v>
      </c>
      <c r="D7" s="36" t="str">
        <f>IF('Document &amp; Task Library'!F5="","",'Document &amp; Task Library'!F5)</f>
        <v>Client HR + CCIG</v>
      </c>
      <c r="E7" s="36" t="str">
        <f>IF('Document &amp; Task Library'!G5="","",'Document &amp; Task Library'!G5)</f>
        <v/>
      </c>
      <c r="F7" s="33" t="str">
        <f>IF('Document &amp; Task Library'!E5="ALWAYS","Yes",IFERROR(INDEX('Client Setup'!$D$12:$D$38,MATCH('Document &amp; Task Library'!E5,'Client Setup'!$B$12:$B$38,0)),"No"))</f>
        <v>Yes</v>
      </c>
      <c r="G7" s="34"/>
    </row>
    <row r="8" spans="1:7" ht="42" hidden="1" customHeight="1" outlineLevel="1" x14ac:dyDescent="0.35">
      <c r="A8" s="35"/>
      <c r="B8" s="49" t="str">
        <f>"Why it matters:  "&amp;'Document &amp; Task Library'!I5&amp;"     What to expect:  "&amp;'Document &amp; Task Library'!J5</f>
        <v>Why it matters:  Kickoff calls with the Third Party Administrator to finalize plan design, eligibility rules, and claims administration setup ahead of the effective date.     What to expect:  2-4 sessions of 60-90 minutes over the first 3-4 weeks. Have current plan documents and eligibility file specs ready.</v>
      </c>
      <c r="C8" s="49"/>
      <c r="D8" s="49"/>
      <c r="E8" s="49"/>
      <c r="F8" s="49"/>
      <c r="G8" s="49"/>
    </row>
    <row r="9" spans="1:7" ht="30" customHeight="1" x14ac:dyDescent="0.45">
      <c r="A9" s="31" t="s">
        <v>102</v>
      </c>
      <c r="B9" s="32" t="str">
        <f>IF('Document &amp; Task Library'!C6="","",'Document &amp; Task Library'!C6)</f>
        <v>PBM Implementation Calls</v>
      </c>
      <c r="C9" s="27" t="str">
        <f>IF('Document &amp; Task Library'!H6="","",'Document &amp; Task Library'!H6)</f>
        <v>Sets up your pharmacy formulary and member ID cards</v>
      </c>
      <c r="D9" s="36" t="str">
        <f>IF('Document &amp; Task Library'!F6="","",'Document &amp; Task Library'!F6)</f>
        <v>Client HR + CCIG</v>
      </c>
      <c r="E9" s="36" t="str">
        <f>IF('Document &amp; Task Library'!G6="","",'Document &amp; Task Library'!G6)</f>
        <v/>
      </c>
      <c r="F9" s="33" t="str">
        <f>IF('Document &amp; Task Library'!E6="ALWAYS","Yes",IFERROR(INDEX('Client Setup'!$D$12:$D$38,MATCH('Document &amp; Task Library'!E6,'Client Setup'!$B$12:$B$38,0)),"No"))</f>
        <v>Yes</v>
      </c>
      <c r="G9" s="34"/>
    </row>
    <row r="10" spans="1:7" ht="42" hidden="1" customHeight="1" outlineLevel="1" x14ac:dyDescent="0.35">
      <c r="A10" s="35"/>
      <c r="B10" s="49" t="str">
        <f>"Why it matters:  "&amp;'Document &amp; Task Library'!I6&amp;"     What to expect:  "&amp;'Document &amp; Task Library'!J6</f>
        <v>Why it matters:  Implementation calls with the Pharmacy Benefit Manager to configure the formulary, prior authorization rules, and member ID cards.     What to expect:  2-3 calls led by the PBM's implementation team. HR confirms member eligibility feed timing.</v>
      </c>
      <c r="C10" s="49"/>
      <c r="D10" s="49"/>
      <c r="E10" s="49"/>
      <c r="F10" s="49"/>
      <c r="G10" s="49"/>
    </row>
    <row r="11" spans="1:7" ht="30" customHeight="1" x14ac:dyDescent="0.45">
      <c r="A11" s="31" t="s">
        <v>102</v>
      </c>
      <c r="B11" s="32" t="str">
        <f>IF('Document &amp; Task Library'!C7="","",'Document &amp; Task Library'!C7)</f>
        <v>Cost Containment Vendor Calls</v>
      </c>
      <c r="C11" s="27" t="str">
        <f>IF('Document &amp; Task Library'!H7="","",'Document &amp; Task Library'!H7)</f>
        <v>Kicks off each Savings Engine vendor you selected</v>
      </c>
      <c r="D11" s="36" t="str">
        <f>IF('Document &amp; Task Library'!F7="","",'Document &amp; Task Library'!F7)</f>
        <v>Client HR + CCIG</v>
      </c>
      <c r="E11" s="36" t="str">
        <f>IF('Document &amp; Task Library'!G7="","",'Document &amp; Task Library'!G7)</f>
        <v/>
      </c>
      <c r="F11" s="33" t="str">
        <f>IF('Document &amp; Task Library'!E7="ALWAYS","Yes",IFERROR(INDEX('Client Setup'!$D$12:$D$38,MATCH('Document &amp; Task Library'!E7,'Client Setup'!$B$12:$B$38,0)),"No"))</f>
        <v>No</v>
      </c>
      <c r="G11" s="34"/>
    </row>
    <row r="12" spans="1:7" ht="42" hidden="1" customHeight="1" outlineLevel="1" x14ac:dyDescent="0.35">
      <c r="A12" s="35"/>
      <c r="B12" s="49" t="str">
        <f>"Why it matters:  "&amp;'Document &amp; Task Library'!I7&amp;"     What to expect:  "&amp;'Document &amp; Task Library'!J7</f>
        <v>Why it matters:  Individual kickoff calls with each selected Savings Engine vendor to set up enrollment, eligibility feeds, and member communications.     What to expect:  One call per selected vendor, typically 30-45 minutes, scheduled across the first month.</v>
      </c>
      <c r="C12" s="49"/>
      <c r="D12" s="49"/>
      <c r="E12" s="49"/>
      <c r="F12" s="49"/>
      <c r="G12" s="49"/>
    </row>
    <row r="13" spans="1:7" ht="30" customHeight="1" x14ac:dyDescent="0.45">
      <c r="A13" s="31" t="s">
        <v>102</v>
      </c>
      <c r="B13" s="32" t="str">
        <f>IF('Document &amp; Task Library'!C8="","",'Document &amp; Task Library'!C8)</f>
        <v>COBRA / FSA / HSA Calls</v>
      </c>
      <c r="C13" s="27" t="str">
        <f>IF('Document &amp; Task Library'!H8="","",'Document &amp; Task Library'!H8)</f>
        <v>Transitions COBRA and FSA/HSA administration to the new plan</v>
      </c>
      <c r="D13" s="36" t="str">
        <f>IF('Document &amp; Task Library'!F8="","",'Document &amp; Task Library'!F8)</f>
        <v>Client HR + CCIG</v>
      </c>
      <c r="E13" s="36" t="str">
        <f>IF('Document &amp; Task Library'!G8="","",'Document &amp; Task Library'!G8)</f>
        <v/>
      </c>
      <c r="F13" s="33" t="str">
        <f>IF('Document &amp; Task Library'!E8="ALWAYS","Yes",IFERROR(INDEX('Client Setup'!$D$12:$D$38,MATCH('Document &amp; Task Library'!E8,'Client Setup'!$B$12:$B$38,0)),"No"))</f>
        <v>Yes</v>
      </c>
      <c r="G13" s="34"/>
    </row>
    <row r="14" spans="1:7" ht="42" hidden="1" customHeight="1" outlineLevel="1" x14ac:dyDescent="0.35">
      <c r="A14" s="35"/>
      <c r="B14" s="49" t="str">
        <f>"Why it matters:  "&amp;'Document &amp; Task Library'!I8&amp;"     What to expect:  "&amp;'Document &amp; Task Library'!J8</f>
        <v>Why it matters:  Setup calls with the COBRA administrator and FSA/HSA vendor to transition existing participants and establish new account administration.     What to expect:  One call per vendor. HR provides the current COBRA participant list and FSA/HSA balances for transition.</v>
      </c>
      <c r="C14" s="49"/>
      <c r="D14" s="49"/>
      <c r="E14" s="49"/>
      <c r="F14" s="49"/>
      <c r="G14" s="49"/>
    </row>
    <row r="15" spans="1:7" ht="30" customHeight="1" x14ac:dyDescent="0.45">
      <c r="A15" s="31" t="s">
        <v>102</v>
      </c>
      <c r="B15" s="32" t="str">
        <f>IF('Document &amp; Task Library'!C9="","",'Document &amp; Task Library'!C9)</f>
        <v>Banking Implementation Calls</v>
      </c>
      <c r="C15" s="27" t="str">
        <f>IF('Document &amp; Task Library'!H9="","",'Document &amp; Task Library'!H9)</f>
        <v>Sets up claims funding with your TPA and bank</v>
      </c>
      <c r="D15" s="36" t="str">
        <f>IF('Document &amp; Task Library'!F9="","",'Document &amp; Task Library'!F9)</f>
        <v>Client Finance + CCIG</v>
      </c>
      <c r="E15" s="36" t="str">
        <f>IF('Document &amp; Task Library'!G9="","",'Document &amp; Task Library'!G9)</f>
        <v/>
      </c>
      <c r="F15" s="33" t="str">
        <f>IF('Document &amp; Task Library'!E9="ALWAYS","Yes",IFERROR(INDEX('Client Setup'!$D$12:$D$38,MATCH('Document &amp; Task Library'!E9,'Client Setup'!$B$12:$B$38,0)),"No"))</f>
        <v>Yes</v>
      </c>
      <c r="G15" s="34"/>
    </row>
    <row r="16" spans="1:7" ht="42" hidden="1" customHeight="1" outlineLevel="1" x14ac:dyDescent="0.35">
      <c r="A16" s="35"/>
      <c r="B16" s="49" t="str">
        <f>"Why it matters:  "&amp;'Document &amp; Task Library'!I9&amp;"     What to expect:  "&amp;'Document &amp; Task Library'!J9</f>
        <v>Why it matters:  Calls with the TPA and bank to set up the claims funding account, wire/ACH authorization, and daily funding process.     What to expect:  1-2 calls. Finance should have bank signer authorization ready in advance.</v>
      </c>
      <c r="C16" s="49"/>
      <c r="D16" s="49"/>
      <c r="E16" s="49"/>
      <c r="F16" s="49"/>
      <c r="G16" s="49"/>
    </row>
    <row r="17" spans="1:7" ht="30" customHeight="1" x14ac:dyDescent="0.45">
      <c r="A17" s="31" t="s">
        <v>102</v>
      </c>
      <c r="B17" s="32" t="str">
        <f>IF('Document &amp; Task Library'!C10="","",'Document &amp; Task Library'!C10)</f>
        <v>Coverage Determination Calls (Optional)</v>
      </c>
      <c r="C17" s="27" t="str">
        <f>IF('Document &amp; Task Library'!H10="","",'Document &amp; Task Library'!H10)</f>
        <v>Optional review of how high-cost claims will be paid</v>
      </c>
      <c r="D17" s="36" t="str">
        <f>IF('Document &amp; Task Library'!F10="","",'Document &amp; Task Library'!F10)</f>
        <v>Client Finance</v>
      </c>
      <c r="E17" s="36" t="str">
        <f>IF('Document &amp; Task Library'!G10="","",'Document &amp; Task Library'!G10)</f>
        <v/>
      </c>
      <c r="F17" s="33" t="str">
        <f>IF('Document &amp; Task Library'!E10="ALWAYS","Yes",IFERROR(INDEX('Client Setup'!$D$12:$D$38,MATCH('Document &amp; Task Library'!E10,'Client Setup'!$B$12:$B$38,0)),"No"))</f>
        <v>No</v>
      </c>
      <c r="G17" s="34"/>
    </row>
    <row r="18" spans="1:7" ht="42" hidden="1" customHeight="1" outlineLevel="1" x14ac:dyDescent="0.35">
      <c r="A18" s="35"/>
      <c r="B18" s="49" t="str">
        <f>"Why it matters:  "&amp;'Document &amp; Task Library'!I10&amp;"     What to expect:  "&amp;'Document &amp; Task Library'!J10</f>
        <v>Why it matters:  Optional calls where Finance reviews how specific high-cost claims will be adjudicated under the new plan design.     What to expect:  Scheduled only if Finance opts in on the Setup tab; typically one call.</v>
      </c>
      <c r="C18" s="49"/>
      <c r="D18" s="49"/>
      <c r="E18" s="49"/>
      <c r="F18" s="49"/>
      <c r="G18" s="49"/>
    </row>
    <row r="19" spans="1:7" ht="21.75" customHeight="1" x14ac:dyDescent="0.35">
      <c r="A19" s="52" t="s">
        <v>107</v>
      </c>
      <c r="B19" s="52"/>
      <c r="C19" s="52"/>
      <c r="D19" s="52"/>
      <c r="E19" s="52"/>
      <c r="F19" s="52"/>
      <c r="G19" s="52"/>
    </row>
    <row r="20" spans="1:7" ht="30" customHeight="1" x14ac:dyDescent="0.45">
      <c r="A20" s="31" t="s">
        <v>102</v>
      </c>
      <c r="B20" s="32" t="str">
        <f>IF('Document &amp; Task Library'!C11="","",'Document &amp; Task Library'!C11)</f>
        <v>TPA Admin Service Agreement</v>
      </c>
      <c r="C20" s="27" t="str">
        <f>IF('Document &amp; Task Library'!H11="","",'Document &amp; Task Library'!H11)</f>
        <v>The core contract governing claims administration</v>
      </c>
      <c r="D20" s="36" t="str">
        <f>IF('Document &amp; Task Library'!F11="","",'Document &amp; Task Library'!F11)</f>
        <v>Client Executive/Finance</v>
      </c>
      <c r="E20" s="36" t="str">
        <f>IF('Document &amp; Task Library'!G11="","",'Document &amp; Task Library'!G11)</f>
        <v>CFO / Authorized Signer</v>
      </c>
      <c r="F20" s="33" t="str">
        <f>IF('Document &amp; Task Library'!E11="ALWAYS","Yes",IFERROR(INDEX('Client Setup'!$D$12:$D$38,MATCH('Document &amp; Task Library'!E11,'Client Setup'!$B$12:$B$38,0)),"No"))</f>
        <v>Yes</v>
      </c>
      <c r="G20" s="34"/>
    </row>
    <row r="21" spans="1:7" ht="42" hidden="1" customHeight="1" outlineLevel="1" x14ac:dyDescent="0.35">
      <c r="A21" s="35"/>
      <c r="B21" s="49" t="str">
        <f>"Why it matters:  "&amp;'Document &amp; Task Library'!I11&amp;"     What to expect:  "&amp;'Document &amp; Task Library'!J11</f>
        <v>Why it matters:  The core administrative services contract with the Third Party Administrator. It governs claims processing, customer service, and reporting for the life of the agreement.     What to expect:  Legal/CFO review is recommended. Typical turnaround is 5-10 business days once terms are finalized.</v>
      </c>
      <c r="C21" s="49"/>
      <c r="D21" s="49"/>
      <c r="E21" s="49"/>
      <c r="F21" s="49"/>
      <c r="G21" s="49"/>
    </row>
    <row r="22" spans="1:7" ht="30" customHeight="1" x14ac:dyDescent="0.45">
      <c r="A22" s="31" t="s">
        <v>102</v>
      </c>
      <c r="B22" s="32" t="str">
        <f>IF('Document &amp; Task Library'!C12="","",'Document &amp; Task Library'!C12)</f>
        <v>Stop-Loss Quote</v>
      </c>
      <c r="C22" s="27" t="str">
        <f>IF('Document &amp; Task Library'!H12="","",'Document &amp; Task Library'!H12)</f>
        <v>Locks in your stop-loss pricing and terms</v>
      </c>
      <c r="D22" s="36" t="str">
        <f>IF('Document &amp; Task Library'!F12="","",'Document &amp; Task Library'!F12)</f>
        <v>Client Executive/Finance</v>
      </c>
      <c r="E22" s="36" t="str">
        <f>IF('Document &amp; Task Library'!G12="","",'Document &amp; Task Library'!G12)</f>
        <v>CFO / Authorized Signer</v>
      </c>
      <c r="F22" s="33" t="str">
        <f>IF('Document &amp; Task Library'!E12="ALWAYS","Yes",IFERROR(INDEX('Client Setup'!$D$12:$D$38,MATCH('Document &amp; Task Library'!E12,'Client Setup'!$B$12:$B$38,0)),"No"))</f>
        <v>Yes</v>
      </c>
      <c r="G22" s="34"/>
    </row>
    <row r="23" spans="1:7" ht="42" hidden="1" customHeight="1" outlineLevel="1" x14ac:dyDescent="0.35">
      <c r="A23" s="35"/>
      <c r="B23" s="49" t="str">
        <f>"Why it matters:  "&amp;'Document &amp; Task Library'!I12&amp;"     What to expect:  "&amp;'Document &amp; Task Library'!J12</f>
        <v>Why it matters:  The formal quote from the stop-loss carrier confirming premium, specific and aggregate deductibles, and contract basis (paid/incurred vs. incurred/paid).     What to expect:  Signature confirms acceptance of terms and locks in pricing. Usually due within 5-10 business days of receipt to hold the rate.</v>
      </c>
      <c r="C23" s="49"/>
      <c r="D23" s="49"/>
      <c r="E23" s="49"/>
      <c r="F23" s="49"/>
      <c r="G23" s="49"/>
    </row>
    <row r="24" spans="1:7" ht="30" customHeight="1" x14ac:dyDescent="0.45">
      <c r="A24" s="31" t="s">
        <v>102</v>
      </c>
      <c r="B24" s="32" t="str">
        <f>IF('Document &amp; Task Library'!C13="","",'Document &amp; Task Library'!C13)</f>
        <v>Stop-Loss Policy</v>
      </c>
      <c r="C24" s="27" t="str">
        <f>IF('Document &amp; Task Library'!H13="","",'Document &amp; Task Library'!H13)</f>
        <v>The binding policy that pays claims above deductible</v>
      </c>
      <c r="D24" s="36" t="str">
        <f>IF('Document &amp; Task Library'!F13="","",'Document &amp; Task Library'!F13)</f>
        <v>Client Executive/Finance</v>
      </c>
      <c r="E24" s="36" t="str">
        <f>IF('Document &amp; Task Library'!G13="","",'Document &amp; Task Library'!G13)</f>
        <v>CFO / Authorized Signer</v>
      </c>
      <c r="F24" s="33" t="str">
        <f>IF('Document &amp; Task Library'!E13="ALWAYS","Yes",IFERROR(INDEX('Client Setup'!$D$12:$D$38,MATCH('Document &amp; Task Library'!E13,'Client Setup'!$B$12:$B$38,0)),"No"))</f>
        <v>Yes</v>
      </c>
      <c r="G24" s="34"/>
    </row>
    <row r="25" spans="1:7" ht="42" hidden="1" customHeight="1" outlineLevel="1" x14ac:dyDescent="0.35">
      <c r="A25" s="35"/>
      <c r="B25" s="49" t="str">
        <f>"Why it matters:  "&amp;'Document &amp; Task Library'!I13&amp;"     What to expect:  "&amp;'Document &amp; Task Library'!J13</f>
        <v>Why it matters:  The binding insurance policy issued after the quote is accepted. This is the legal contract that pays claims above the deductible.     What to expect:  Issued after the quote is signed and the plan is bound. Review against the quote for accuracy.</v>
      </c>
      <c r="C25" s="49"/>
      <c r="D25" s="49"/>
      <c r="E25" s="49"/>
      <c r="F25" s="49"/>
      <c r="G25" s="49"/>
    </row>
    <row r="26" spans="1:7" ht="30" customHeight="1" x14ac:dyDescent="0.45">
      <c r="A26" s="31" t="s">
        <v>102</v>
      </c>
      <c r="B26" s="32" t="str">
        <f>IF('Document &amp; Task Library'!C14="","",'Document &amp; Task Library'!C14)</f>
        <v>PBM Master Agreement</v>
      </c>
      <c r="C26" s="27" t="str">
        <f>IF('Document &amp; Task Library'!H14="","",'Document &amp; Task Library'!H14)</f>
        <v>Governs pharmacy pricing and rebate terms</v>
      </c>
      <c r="D26" s="36" t="str">
        <f>IF('Document &amp; Task Library'!F14="","",'Document &amp; Task Library'!F14)</f>
        <v>Client Executive/Finance</v>
      </c>
      <c r="E26" s="36" t="str">
        <f>IF('Document &amp; Task Library'!G14="","",'Document &amp; Task Library'!G14)</f>
        <v>CFO / Authorized Signer</v>
      </c>
      <c r="F26" s="33" t="str">
        <f>IF('Document &amp; Task Library'!E14="ALWAYS","Yes",IFERROR(INDEX('Client Setup'!$D$12:$D$38,MATCH('Document &amp; Task Library'!E14,'Client Setup'!$B$12:$B$38,0)),"No"))</f>
        <v>Yes</v>
      </c>
      <c r="G26" s="34"/>
    </row>
    <row r="27" spans="1:7" ht="42" hidden="1" customHeight="1" outlineLevel="1" x14ac:dyDescent="0.35">
      <c r="A27" s="35"/>
      <c r="B27" s="49" t="str">
        <f>"Why it matters:  "&amp;'Document &amp; Task Library'!I14&amp;"     What to expect:  "&amp;'Document &amp; Task Library'!J14</f>
        <v>Why it matters:  The contract governing pharmacy claims processing, pricing guarantees, and rebate terms with the Pharmacy Benefit Manager.     What to expect:  Often the longest document in the packet. CFO/Authorized Signer review is recommended before signing.</v>
      </c>
      <c r="C27" s="49"/>
      <c r="D27" s="49"/>
      <c r="E27" s="49"/>
      <c r="F27" s="49"/>
      <c r="G27" s="49"/>
    </row>
    <row r="28" spans="1:7" ht="30" customHeight="1" x14ac:dyDescent="0.45">
      <c r="A28" s="31" t="s">
        <v>102</v>
      </c>
      <c r="B28" s="32" t="str">
        <f>IF('Document &amp; Task Library'!C15="","",'Document &amp; Task Library'!C15)</f>
        <v>PBM Implementation Manual</v>
      </c>
      <c r="C28" s="27" t="str">
        <f>IF('Document &amp; Task Library'!H15="","",'Document &amp; Task Library'!H15)</f>
        <v>Confirms formulary and prior authorization rules</v>
      </c>
      <c r="D28" s="36" t="str">
        <f>IF('Document &amp; Task Library'!F15="","",'Document &amp; Task Library'!F15)</f>
        <v>Client Executive/Finance</v>
      </c>
      <c r="E28" s="36" t="str">
        <f>IF('Document &amp; Task Library'!G15="","",'Document &amp; Task Library'!G15)</f>
        <v>CFO / Authorized Signer</v>
      </c>
      <c r="F28" s="33" t="str">
        <f>IF('Document &amp; Task Library'!E15="ALWAYS","Yes",IFERROR(INDEX('Client Setup'!$D$12:$D$38,MATCH('Document &amp; Task Library'!E15,'Client Setup'!$B$12:$B$38,0)),"No"))</f>
        <v>Yes</v>
      </c>
      <c r="G28" s="34"/>
    </row>
    <row r="29" spans="1:7" ht="42" hidden="1" customHeight="1" outlineLevel="1" x14ac:dyDescent="0.35">
      <c r="A29" s="35"/>
      <c r="B29" s="49" t="str">
        <f>"Why it matters:  "&amp;'Document &amp; Task Library'!I15&amp;"     What to expect:  "&amp;'Document &amp; Task Library'!J15</f>
        <v>Why it matters:  Operational reference confirming formulary, prior authorization criteria, and member communication timelines for go-live.     What to expect:  Typically an acknowledgment signature, not a negotiated contract.</v>
      </c>
      <c r="C29" s="49"/>
      <c r="D29" s="49"/>
      <c r="E29" s="49"/>
      <c r="F29" s="49"/>
      <c r="G29" s="49"/>
    </row>
    <row r="30" spans="1:7" ht="30" customHeight="1" x14ac:dyDescent="0.45">
      <c r="A30" s="31" t="s">
        <v>102</v>
      </c>
      <c r="B30" s="32" t="str">
        <f>IF('Document &amp; Task Library'!C16="","",'Document &amp; Task Library'!C16)</f>
        <v>Captive Agreement</v>
      </c>
      <c r="C30" s="27" t="str">
        <f>IF('Document &amp; Task Library'!H16="","",'Document &amp; Task Library'!H16)</f>
        <v>Governs your participation in the group captive</v>
      </c>
      <c r="D30" s="36" t="str">
        <f>IF('Document &amp; Task Library'!F16="","",'Document &amp; Task Library'!F16)</f>
        <v>Client Executive/Finance</v>
      </c>
      <c r="E30" s="36" t="str">
        <f>IF('Document &amp; Task Library'!G16="","",'Document &amp; Task Library'!G16)</f>
        <v>CFO / Authorized Signer</v>
      </c>
      <c r="F30" s="33" t="str">
        <f>IF('Document &amp; Task Library'!E16="ALWAYS","Yes",IFERROR(INDEX('Client Setup'!$D$12:$D$38,MATCH('Document &amp; Task Library'!E16,'Client Setup'!$B$12:$B$38,0)),"No"))</f>
        <v>No</v>
      </c>
      <c r="G30" s="34"/>
    </row>
    <row r="31" spans="1:7" ht="42" hidden="1" customHeight="1" outlineLevel="1" x14ac:dyDescent="0.35">
      <c r="A31" s="35"/>
      <c r="B31" s="49" t="str">
        <f>"Why it matters:  "&amp;'Document &amp; Task Library'!I16&amp;"     What to expect:  "&amp;'Document &amp; Task Library'!J16</f>
        <v>Why it matters:  The governing agreement (100+ pages) for participation in the group captive, covering member obligations, loss fund mechanics, and governance.     What to expect:  The most detailed document in the packet. Budget extra review time; CCIG can walk through the key sections before signing.</v>
      </c>
      <c r="C31" s="49"/>
      <c r="D31" s="49"/>
      <c r="E31" s="49"/>
      <c r="F31" s="49"/>
      <c r="G31" s="49"/>
    </row>
    <row r="32" spans="1:7" ht="30" customHeight="1" x14ac:dyDescent="0.45">
      <c r="A32" s="31" t="s">
        <v>102</v>
      </c>
      <c r="B32" s="32" t="str">
        <f>IF('Document &amp; Task Library'!C17="","",'Document &amp; Task Library'!C17)</f>
        <v>Captive Capital Invoice</v>
      </c>
      <c r="C32" s="27" t="str">
        <f>IF('Document &amp; Task Library'!H17="","",'Document &amp; Task Library'!H17)</f>
        <v>Your required capital contribution to the captive</v>
      </c>
      <c r="D32" s="36" t="str">
        <f>IF('Document &amp; Task Library'!F17="","",'Document &amp; Task Library'!F17)</f>
        <v>Client Finance</v>
      </c>
      <c r="E32" s="36" t="str">
        <f>IF('Document &amp; Task Library'!G17="","",'Document &amp; Task Library'!G17)</f>
        <v>CFO / Authorized Signer</v>
      </c>
      <c r="F32" s="33" t="str">
        <f>IF('Document &amp; Task Library'!E17="ALWAYS","Yes",IFERROR(INDEX('Client Setup'!$D$12:$D$38,MATCH('Document &amp; Task Library'!E17,'Client Setup'!$B$12:$B$38,0)),"No"))</f>
        <v>No</v>
      </c>
      <c r="G32" s="34"/>
    </row>
    <row r="33" spans="1:7" ht="42" hidden="1" customHeight="1" outlineLevel="1" x14ac:dyDescent="0.35">
      <c r="A33" s="35"/>
      <c r="B33" s="49" t="str">
        <f>"Why it matters:  "&amp;'Document &amp; Task Library'!I17&amp;"     What to expect:  "&amp;'Document &amp; Task Library'!J17</f>
        <v>Why it matters:  Invoice for the client's required capital contribution to the captive, a standard condition of participation.     What to expect:  Payment due date is tied to the plan effective date. Confirm wire instructions with Finance before sending funds.</v>
      </c>
      <c r="C33" s="49"/>
      <c r="D33" s="49"/>
      <c r="E33" s="49"/>
      <c r="F33" s="49"/>
      <c r="G33" s="49"/>
    </row>
    <row r="34" spans="1:7" ht="30" customHeight="1" x14ac:dyDescent="0.45">
      <c r="A34" s="31" t="s">
        <v>102</v>
      </c>
      <c r="B34" s="32" t="str">
        <f>IF('Document &amp; Task Library'!C18="","",'Document &amp; Task Library'!C18)</f>
        <v>Savings Engine Agreement - CancerCare</v>
      </c>
      <c r="C34" s="27" t="str">
        <f>IF('Document &amp; Task Library'!H18="","",'Document &amp; Task Library'!H18)</f>
        <v>Enrollment agreement with CancerCare</v>
      </c>
      <c r="D34" s="36" t="str">
        <f>IF('Document &amp; Task Library'!F18="","",'Document &amp; Task Library'!F18)</f>
        <v>Client Executive/Finance</v>
      </c>
      <c r="E34" s="36" t="str">
        <f>IF('Document &amp; Task Library'!G18="","",'Document &amp; Task Library'!G18)</f>
        <v>CFO / Authorized Signer</v>
      </c>
      <c r="F34" s="33" t="str">
        <f>IF('Document &amp; Task Library'!E18="ALWAYS","Yes",IFERROR(INDEX('Client Setup'!$D$12:$D$38,MATCH('Document &amp; Task Library'!E18,'Client Setup'!$B$12:$B$38,0)),"No"))</f>
        <v>No</v>
      </c>
      <c r="G34" s="34"/>
    </row>
    <row r="35" spans="1:7" ht="42" hidden="1" customHeight="1" outlineLevel="1" x14ac:dyDescent="0.35">
      <c r="A35" s="35"/>
      <c r="B35" s="49" t="str">
        <f>"Why it matters:  "&amp;'Document &amp; Task Library'!I18&amp;"     What to expect:  "&amp;'Document &amp; Task Library'!J18</f>
        <v>Why it matters:  Enrollment/services agreement with CancerCare, cancer care navigation and second-opinion support for members with a cancer diagnosis.     What to expect:  Signature authorizes data sharing and enrollment. Turnaround varies by vendor; confirm on the vendor kickoff call.</v>
      </c>
      <c r="C35" s="49"/>
      <c r="D35" s="49"/>
      <c r="E35" s="49"/>
      <c r="F35" s="49"/>
      <c r="G35" s="49"/>
    </row>
    <row r="36" spans="1:7" ht="30" customHeight="1" x14ac:dyDescent="0.45">
      <c r="A36" s="31" t="s">
        <v>102</v>
      </c>
      <c r="B36" s="32" t="str">
        <f>IF('Document &amp; Task Library'!C19="","",'Document &amp; Task Library'!C19)</f>
        <v>Savings Engine Agreement - eHealth</v>
      </c>
      <c r="C36" s="27" t="str">
        <f>IF('Document &amp; Task Library'!H19="","",'Document &amp; Task Library'!H19)</f>
        <v>Enrollment agreement with eHealth</v>
      </c>
      <c r="D36" s="36" t="str">
        <f>IF('Document &amp; Task Library'!F19="","",'Document &amp; Task Library'!F19)</f>
        <v>Client Executive/Finance</v>
      </c>
      <c r="E36" s="36" t="str">
        <f>IF('Document &amp; Task Library'!G19="","",'Document &amp; Task Library'!G19)</f>
        <v>CFO / Authorized Signer</v>
      </c>
      <c r="F36" s="33" t="str">
        <f>IF('Document &amp; Task Library'!E19="ALWAYS","Yes",IFERROR(INDEX('Client Setup'!$D$12:$D$38,MATCH('Document &amp; Task Library'!E19,'Client Setup'!$B$12:$B$38,0)),"No"))</f>
        <v>No</v>
      </c>
      <c r="G36" s="34"/>
    </row>
    <row r="37" spans="1:7" ht="42" hidden="1" customHeight="1" outlineLevel="1" x14ac:dyDescent="0.35">
      <c r="A37" s="35"/>
      <c r="B37" s="49" t="str">
        <f>"Why it matters:  "&amp;'Document &amp; Task Library'!I19&amp;"     What to expect:  "&amp;'Document &amp; Task Library'!J19</f>
        <v>Why it matters:  Enrollment/services agreement with eHealth, Medicare and ACA marketplace enrollment support, commonly used for retirees or employees losing group coverage.     What to expect:  Signature authorizes data sharing and enrollment. Turnaround varies by vendor; confirm on the vendor kickoff call.</v>
      </c>
      <c r="C37" s="49"/>
      <c r="D37" s="49"/>
      <c r="E37" s="49"/>
      <c r="F37" s="49"/>
      <c r="G37" s="49"/>
    </row>
    <row r="38" spans="1:7" ht="30" customHeight="1" x14ac:dyDescent="0.45">
      <c r="A38" s="31" t="s">
        <v>102</v>
      </c>
      <c r="B38" s="32" t="str">
        <f>IF('Document &amp; Task Library'!C20="","",'Document &amp; Task Library'!C20)</f>
        <v>Savings Engine Agreement - First Stop Health</v>
      </c>
      <c r="C38" s="27" t="str">
        <f>IF('Document &amp; Task Library'!H20="","",'Document &amp; Task Library'!H20)</f>
        <v>Enrollment agreement with First Stop Health</v>
      </c>
      <c r="D38" s="36" t="str">
        <f>IF('Document &amp; Task Library'!F20="","",'Document &amp; Task Library'!F20)</f>
        <v>Client Executive/Finance</v>
      </c>
      <c r="E38" s="36" t="str">
        <f>IF('Document &amp; Task Library'!G20="","",'Document &amp; Task Library'!G20)</f>
        <v>CFO / Authorized Signer</v>
      </c>
      <c r="F38" s="33" t="str">
        <f>IF('Document &amp; Task Library'!E20="ALWAYS","Yes",IFERROR(INDEX('Client Setup'!$D$12:$D$38,MATCH('Document &amp; Task Library'!E20,'Client Setup'!$B$12:$B$38,0)),"No"))</f>
        <v>No</v>
      </c>
      <c r="G38" s="34"/>
    </row>
    <row r="39" spans="1:7" ht="42" hidden="1" customHeight="1" outlineLevel="1" x14ac:dyDescent="0.35">
      <c r="A39" s="35"/>
      <c r="B39" s="49" t="str">
        <f>"Why it matters:  "&amp;'Document &amp; Task Library'!I20&amp;"     What to expect:  "&amp;'Document &amp; Task Library'!J20</f>
        <v>Why it matters:  Enrollment/services agreement with First Stop Health, 24/7 virtual primary and urgent care, giving members phone or video access to a doctor.     What to expect:  Signature authorizes data sharing and enrollment. Turnaround varies by vendor; confirm on the vendor kickoff call.</v>
      </c>
      <c r="C39" s="49"/>
      <c r="D39" s="49"/>
      <c r="E39" s="49"/>
      <c r="F39" s="49"/>
      <c r="G39" s="49"/>
    </row>
    <row r="40" spans="1:7" ht="30" customHeight="1" x14ac:dyDescent="0.45">
      <c r="A40" s="31" t="s">
        <v>102</v>
      </c>
      <c r="B40" s="32" t="str">
        <f>IF('Document &amp; Task Library'!C21="","",'Document &amp; Task Library'!C21)</f>
        <v>Savings Engine Agreement - Found</v>
      </c>
      <c r="C40" s="27" t="str">
        <f>IF('Document &amp; Task Library'!H21="","",'Document &amp; Task Library'!H21)</f>
        <v>Enrollment agreement with Found</v>
      </c>
      <c r="D40" s="36" t="str">
        <f>IF('Document &amp; Task Library'!F21="","",'Document &amp; Task Library'!F21)</f>
        <v>Client Executive/Finance</v>
      </c>
      <c r="E40" s="36" t="str">
        <f>IF('Document &amp; Task Library'!G21="","",'Document &amp; Task Library'!G21)</f>
        <v>CFO / Authorized Signer</v>
      </c>
      <c r="F40" s="33" t="str">
        <f>IF('Document &amp; Task Library'!E21="ALWAYS","Yes",IFERROR(INDEX('Client Setup'!$D$12:$D$38,MATCH('Document &amp; Task Library'!E21,'Client Setup'!$B$12:$B$38,0)),"No"))</f>
        <v>No</v>
      </c>
      <c r="G40" s="34"/>
    </row>
    <row r="41" spans="1:7" ht="42" hidden="1" customHeight="1" outlineLevel="1" x14ac:dyDescent="0.35">
      <c r="A41" s="35"/>
      <c r="B41" s="49" t="str">
        <f>"Why it matters:  "&amp;'Document &amp; Task Library'!I21&amp;"     What to expect:  "&amp;'Document &amp; Task Library'!J21</f>
        <v>Why it matters:  Enrollment/services agreement with Found, a physician-led weight management program pairing GLP-1 medication access with coaching, aimed at controlling GLP-1 drug spend.     What to expect:  Signature authorizes data sharing and enrollment. Turnaround varies by vendor; confirm on the vendor kickoff call.</v>
      </c>
      <c r="C41" s="49"/>
      <c r="D41" s="49"/>
      <c r="E41" s="49"/>
      <c r="F41" s="49"/>
      <c r="G41" s="49"/>
    </row>
    <row r="42" spans="1:7" ht="30" customHeight="1" x14ac:dyDescent="0.45">
      <c r="A42" s="31" t="s">
        <v>102</v>
      </c>
      <c r="B42" s="32" t="str">
        <f>IF('Document &amp; Task Library'!C22="","",'Document &amp; Task Library'!C22)</f>
        <v>Savings Engine Agreement - HUSK</v>
      </c>
      <c r="C42" s="27" t="str">
        <f>IF('Document &amp; Task Library'!H22="","",'Document &amp; Task Library'!H22)</f>
        <v>Enrollment agreement with HUSK</v>
      </c>
      <c r="D42" s="36" t="str">
        <f>IF('Document &amp; Task Library'!F22="","",'Document &amp; Task Library'!F22)</f>
        <v>Client Executive/Finance</v>
      </c>
      <c r="E42" s="36" t="str">
        <f>IF('Document &amp; Task Library'!G22="","",'Document &amp; Task Library'!G22)</f>
        <v>CFO / Authorized Signer</v>
      </c>
      <c r="F42" s="33" t="str">
        <f>IF('Document &amp; Task Library'!E22="ALWAYS","Yes",IFERROR(INDEX('Client Setup'!$D$12:$D$38,MATCH('Document &amp; Task Library'!E22,'Client Setup'!$B$12:$B$38,0)),"No"))</f>
        <v>No</v>
      </c>
      <c r="G42" s="34"/>
    </row>
    <row r="43" spans="1:7" ht="42" hidden="1" customHeight="1" outlineLevel="1" x14ac:dyDescent="0.35">
      <c r="A43" s="35"/>
      <c r="B43" s="49" t="str">
        <f>"Why it matters:  "&amp;'Document &amp; Task Library'!I22&amp;"     What to expect:  "&amp;'Document &amp; Task Library'!J22</f>
        <v>Why it matters:  Enrollment/services agreement with HUSK, a wellness ecosystem covering nutrition counseling, mental health support, and incentive rewards.     What to expect:  Signature authorizes data sharing and enrollment. Turnaround varies by vendor; confirm on the vendor kickoff call.</v>
      </c>
      <c r="C43" s="49"/>
      <c r="D43" s="49"/>
      <c r="E43" s="49"/>
      <c r="F43" s="49"/>
      <c r="G43" s="49"/>
    </row>
    <row r="44" spans="1:7" ht="30" customHeight="1" x14ac:dyDescent="0.45">
      <c r="A44" s="31" t="s">
        <v>102</v>
      </c>
      <c r="B44" s="32" t="str">
        <f>IF('Document &amp; Task Library'!C23="","",'Document &amp; Task Library'!C23)</f>
        <v>Savings Engine Agreement - Lyra Select</v>
      </c>
      <c r="C44" s="27" t="str">
        <f>IF('Document &amp; Task Library'!H23="","",'Document &amp; Task Library'!H23)</f>
        <v>Enrollment agreement with Lyra Select</v>
      </c>
      <c r="D44" s="36" t="str">
        <f>IF('Document &amp; Task Library'!F23="","",'Document &amp; Task Library'!F23)</f>
        <v>Client Executive/Finance</v>
      </c>
      <c r="E44" s="36" t="str">
        <f>IF('Document &amp; Task Library'!G23="","",'Document &amp; Task Library'!G23)</f>
        <v>CFO / Authorized Signer</v>
      </c>
      <c r="F44" s="33" t="str">
        <f>IF('Document &amp; Task Library'!E23="ALWAYS","Yes",IFERROR(INDEX('Client Setup'!$D$12:$D$38,MATCH('Document &amp; Task Library'!E23,'Client Setup'!$B$12:$B$38,0)),"No"))</f>
        <v>No</v>
      </c>
      <c r="G44" s="34"/>
    </row>
    <row r="45" spans="1:7" ht="42" hidden="1" customHeight="1" outlineLevel="1" x14ac:dyDescent="0.35">
      <c r="A45" s="35"/>
      <c r="B45" s="49" t="str">
        <f>"Why it matters:  "&amp;'Document &amp; Task Library'!I23&amp;"     What to expect:  "&amp;'Document &amp; Task Library'!J23</f>
        <v>Why it matters:  Enrollment/services agreement with Lyra Select, a mental health benefit connecting members to therapy and coaching.     What to expect:  Signature authorizes data sharing and enrollment. Turnaround varies by vendor; confirm on the vendor kickoff call.</v>
      </c>
      <c r="C45" s="49"/>
      <c r="D45" s="49"/>
      <c r="E45" s="49"/>
      <c r="F45" s="49"/>
      <c r="G45" s="49"/>
    </row>
    <row r="46" spans="1:7" ht="30" customHeight="1" x14ac:dyDescent="0.45">
      <c r="A46" s="31" t="s">
        <v>102</v>
      </c>
      <c r="B46" s="32" t="str">
        <f>IF('Document &amp; Task Library'!C24="","",'Document &amp; Task Library'!C24)</f>
        <v>Savings Engine Agreement - The Phia Group</v>
      </c>
      <c r="C46" s="27" t="str">
        <f>IF('Document &amp; Task Library'!H24="","",'Document &amp; Task Library'!H24)</f>
        <v>Enrollment agreement with The Phia Group</v>
      </c>
      <c r="D46" s="36" t="str">
        <f>IF('Document &amp; Task Library'!F24="","",'Document &amp; Task Library'!F24)</f>
        <v>Client Executive/Finance</v>
      </c>
      <c r="E46" s="36" t="str">
        <f>IF('Document &amp; Task Library'!G24="","",'Document &amp; Task Library'!G24)</f>
        <v>CFO / Authorized Signer</v>
      </c>
      <c r="F46" s="33" t="str">
        <f>IF('Document &amp; Task Library'!E24="ALWAYS","Yes",IFERROR(INDEX('Client Setup'!$D$12:$D$38,MATCH('Document &amp; Task Library'!E24,'Client Setup'!$B$12:$B$38,0)),"No"))</f>
        <v>No</v>
      </c>
      <c r="G46" s="34"/>
    </row>
    <row r="47" spans="1:7" ht="42" hidden="1" customHeight="1" outlineLevel="1" x14ac:dyDescent="0.35">
      <c r="A47" s="35"/>
      <c r="B47" s="49" t="str">
        <f>"Why it matters:  "&amp;'Document &amp; Task Library'!I24&amp;"     What to expect:  "&amp;'Document &amp; Task Library'!J24</f>
        <v>Why it matters:  Enrollment/services agreement with The Phia Group, benefit compliance and subrogation support, helping recover costs from third parties and reduce plan liability.     What to expect:  Signature authorizes data sharing and enrollment. Turnaround varies by vendor; confirm on the vendor kickoff call.</v>
      </c>
      <c r="C47" s="49"/>
      <c r="D47" s="49"/>
      <c r="E47" s="49"/>
      <c r="F47" s="49"/>
      <c r="G47" s="49"/>
    </row>
    <row r="48" spans="1:7" ht="30" customHeight="1" x14ac:dyDescent="0.45">
      <c r="A48" s="31" t="s">
        <v>102</v>
      </c>
      <c r="B48" s="32" t="str">
        <f>IF('Document &amp; Task Library'!C25="","",'Document &amp; Task Library'!C25)</f>
        <v>Savings Engine Agreement - Progeny Health</v>
      </c>
      <c r="C48" s="27" t="str">
        <f>IF('Document &amp; Task Library'!H25="","",'Document &amp; Task Library'!H25)</f>
        <v>Enrollment agreement with Progeny Health</v>
      </c>
      <c r="D48" s="36" t="str">
        <f>IF('Document &amp; Task Library'!F25="","",'Document &amp; Task Library'!F25)</f>
        <v>Client Executive/Finance</v>
      </c>
      <c r="E48" s="36" t="str">
        <f>IF('Document &amp; Task Library'!G25="","",'Document &amp; Task Library'!G25)</f>
        <v>CFO / Authorized Signer</v>
      </c>
      <c r="F48" s="33" t="str">
        <f>IF('Document &amp; Task Library'!E25="ALWAYS","Yes",IFERROR(INDEX('Client Setup'!$D$12:$D$38,MATCH('Document &amp; Task Library'!E25,'Client Setup'!$B$12:$B$38,0)),"No"))</f>
        <v>No</v>
      </c>
      <c r="G48" s="34"/>
    </row>
    <row r="49" spans="1:7" ht="42" hidden="1" customHeight="1" outlineLevel="1" x14ac:dyDescent="0.35">
      <c r="A49" s="35"/>
      <c r="B49" s="49" t="str">
        <f>"Why it matters:  "&amp;'Document &amp; Task Library'!I25&amp;"     What to expect:  "&amp;'Document &amp; Task Library'!J25</f>
        <v>Why it matters:  Enrollment/services agreement with Progeny Health, specialized case management for babies in the NICU, aimed at improving outcomes and controlling neonatal claim costs.     What to expect:  Signature authorizes data sharing and enrollment. Turnaround varies by vendor; confirm on the vendor kickoff call.</v>
      </c>
      <c r="C49" s="49"/>
      <c r="D49" s="49"/>
      <c r="E49" s="49"/>
      <c r="F49" s="49"/>
      <c r="G49" s="49"/>
    </row>
    <row r="50" spans="1:7" ht="30" customHeight="1" x14ac:dyDescent="0.45">
      <c r="A50" s="31" t="s">
        <v>102</v>
      </c>
      <c r="B50" s="32" t="str">
        <f>IF('Document &amp; Task Library'!C26="","",'Document &amp; Task Library'!C26)</f>
        <v>Savings Engine Agreement - Renalogic</v>
      </c>
      <c r="C50" s="27" t="str">
        <f>IF('Document &amp; Task Library'!H26="","",'Document &amp; Task Library'!H26)</f>
        <v>Enrollment agreement with Renalogic</v>
      </c>
      <c r="D50" s="36" t="str">
        <f>IF('Document &amp; Task Library'!F26="","",'Document &amp; Task Library'!F26)</f>
        <v>Client Executive/Finance</v>
      </c>
      <c r="E50" s="36" t="str">
        <f>IF('Document &amp; Task Library'!G26="","",'Document &amp; Task Library'!G26)</f>
        <v>CFO / Authorized Signer</v>
      </c>
      <c r="F50" s="33" t="str">
        <f>IF('Document &amp; Task Library'!E26="ALWAYS","Yes",IFERROR(INDEX('Client Setup'!$D$12:$D$38,MATCH('Document &amp; Task Library'!E26,'Client Setup'!$B$12:$B$38,0)),"No"))</f>
        <v>No</v>
      </c>
      <c r="G50" s="34"/>
    </row>
    <row r="51" spans="1:7" ht="42" hidden="1" customHeight="1" outlineLevel="1" x14ac:dyDescent="0.35">
      <c r="A51" s="35"/>
      <c r="B51" s="49" t="str">
        <f>"Why it matters:  "&amp;'Document &amp; Task Library'!I26&amp;"     What to expect:  "&amp;'Document &amp; Task Library'!J26</f>
        <v>Why it matters:  Enrollment/services agreement with Renalogic, chronic kidney disease and dialysis cost management, identifying at-risk members early and steering care to lower-cost, in-network dialysis providers.     What to expect:  Signature authorizes data sharing and enrollment. Turnaround varies by vendor; confirm on the vendor kickoff call.</v>
      </c>
      <c r="C51" s="49"/>
      <c r="D51" s="49"/>
      <c r="E51" s="49"/>
      <c r="F51" s="49"/>
      <c r="G51" s="49"/>
    </row>
    <row r="52" spans="1:7" ht="30" customHeight="1" x14ac:dyDescent="0.45">
      <c r="A52" s="31" t="s">
        <v>102</v>
      </c>
      <c r="B52" s="32" t="str">
        <f>IF('Document &amp; Task Library'!C27="","",'Document &amp; Task Library'!C27)</f>
        <v>Savings Engine Agreement - Rightway</v>
      </c>
      <c r="C52" s="27" t="str">
        <f>IF('Document &amp; Task Library'!H27="","",'Document &amp; Task Library'!H27)</f>
        <v>Enrollment agreement with Rightway</v>
      </c>
      <c r="D52" s="36" t="str">
        <f>IF('Document &amp; Task Library'!F27="","",'Document &amp; Task Library'!F27)</f>
        <v>Client Executive/Finance</v>
      </c>
      <c r="E52" s="36" t="str">
        <f>IF('Document &amp; Task Library'!G27="","",'Document &amp; Task Library'!G27)</f>
        <v>CFO / Authorized Signer</v>
      </c>
      <c r="F52" s="33" t="str">
        <f>IF('Document &amp; Task Library'!E27="ALWAYS","Yes",IFERROR(INDEX('Client Setup'!$D$12:$D$38,MATCH('Document &amp; Task Library'!E27,'Client Setup'!$B$12:$B$38,0)),"No"))</f>
        <v>No</v>
      </c>
      <c r="G52" s="34"/>
    </row>
    <row r="53" spans="1:7" ht="42" hidden="1" customHeight="1" outlineLevel="1" x14ac:dyDescent="0.35">
      <c r="A53" s="35"/>
      <c r="B53" s="49" t="str">
        <f>"Why it matters:  "&amp;'Document &amp; Task Library'!I27&amp;"     What to expect:  "&amp;'Document &amp; Task Library'!J27</f>
        <v>Why it matters:  Enrollment/services agreement with Rightway, care navigation and pharmacy guidance, helping members find in-network providers and compare costs for surgeries, imaging, and prescriptions.     What to expect:  Signature authorizes data sharing and enrollment. Turnaround varies by vendor; confirm on the vendor kickoff call.</v>
      </c>
      <c r="C53" s="49"/>
      <c r="D53" s="49"/>
      <c r="E53" s="49"/>
      <c r="F53" s="49"/>
      <c r="G53" s="49"/>
    </row>
    <row r="54" spans="1:7" ht="30" customHeight="1" x14ac:dyDescent="0.45">
      <c r="A54" s="31" t="s">
        <v>102</v>
      </c>
      <c r="B54" s="32" t="str">
        <f>IF('Document &amp; Task Library'!C28="","",'Document &amp; Task Library'!C28)</f>
        <v>Savings Engine Agreement - SmartConnect (powered by SmartMatch)</v>
      </c>
      <c r="C54" s="27" t="str">
        <f>IF('Document &amp; Task Library'!H28="","",'Document &amp; Task Library'!H28)</f>
        <v>Enrollment agreement with SmartConnect (powered by SmartMatch)</v>
      </c>
      <c r="D54" s="36" t="str">
        <f>IF('Document &amp; Task Library'!F28="","",'Document &amp; Task Library'!F28)</f>
        <v>Client Executive/Finance</v>
      </c>
      <c r="E54" s="36" t="str">
        <f>IF('Document &amp; Task Library'!G28="","",'Document &amp; Task Library'!G28)</f>
        <v>CFO / Authorized Signer</v>
      </c>
      <c r="F54" s="33" t="str">
        <f>IF('Document &amp; Task Library'!E28="ALWAYS","Yes",IFERROR(INDEX('Client Setup'!$D$12:$D$38,MATCH('Document &amp; Task Library'!E28,'Client Setup'!$B$12:$B$38,0)),"No"))</f>
        <v>No</v>
      </c>
      <c r="G54" s="34"/>
    </row>
    <row r="55" spans="1:7" ht="42" hidden="1" customHeight="1" outlineLevel="1" x14ac:dyDescent="0.35">
      <c r="A55" s="35"/>
      <c r="B55" s="49" t="str">
        <f>"Why it matters:  "&amp;'Document &amp; Task Library'!I28&amp;"     What to expect:  "&amp;'Document &amp; Task Library'!J28</f>
        <v>Why it matters:  Enrollment/services agreement with SmartConnect (powered by SmartMatch), Medicare enrollment support that helps Medicare-eligible employees and retirees compare and enroll in Medicare plans, reducing employer plan spend for that population.     What to expect:  Signature authorizes data sharing and enrollment. Turnaround varies by vendor; confirm on the vendor kickoff call.</v>
      </c>
      <c r="C55" s="49"/>
      <c r="D55" s="49"/>
      <c r="E55" s="49"/>
      <c r="F55" s="49"/>
      <c r="G55" s="49"/>
    </row>
    <row r="56" spans="1:7" ht="30" customHeight="1" x14ac:dyDescent="0.45">
      <c r="A56" s="31" t="s">
        <v>102</v>
      </c>
      <c r="B56" s="32" t="str">
        <f>IF('Document &amp; Task Library'!C29="","",'Document &amp; Task Library'!C29)</f>
        <v>Savings Engine Agreement - Springbuk</v>
      </c>
      <c r="C56" s="27" t="str">
        <f>IF('Document &amp; Task Library'!H29="","",'Document &amp; Task Library'!H29)</f>
        <v>Enrollment agreement with Springbuk</v>
      </c>
      <c r="D56" s="36" t="str">
        <f>IF('Document &amp; Task Library'!F29="","",'Document &amp; Task Library'!F29)</f>
        <v>Client Executive/Finance</v>
      </c>
      <c r="E56" s="36" t="str">
        <f>IF('Document &amp; Task Library'!G29="","",'Document &amp; Task Library'!G29)</f>
        <v>CFO / Authorized Signer</v>
      </c>
      <c r="F56" s="33" t="str">
        <f>IF('Document &amp; Task Library'!E29="ALWAYS","Yes",IFERROR(INDEX('Client Setup'!$D$12:$D$38,MATCH('Document &amp; Task Library'!E29,'Client Setup'!$B$12:$B$38,0)),"No"))</f>
        <v>No</v>
      </c>
      <c r="G56" s="34"/>
    </row>
    <row r="57" spans="1:7" ht="42" hidden="1" customHeight="1" outlineLevel="1" x14ac:dyDescent="0.35">
      <c r="A57" s="35"/>
      <c r="B57" s="49" t="str">
        <f>"Why it matters:  "&amp;'Document &amp; Task Library'!I29&amp;"     What to expect:  "&amp;'Document &amp; Task Library'!J29</f>
        <v>Why it matters:  Enrollment/services agreement with Springbuk, a health data analytics platform used to identify cost drivers and track plan performance.     What to expect:  Signature authorizes data sharing and enrollment. Turnaround varies by vendor; confirm on the vendor kickoff call.</v>
      </c>
      <c r="C57" s="49"/>
      <c r="D57" s="49"/>
      <c r="E57" s="49"/>
      <c r="F57" s="49"/>
      <c r="G57" s="49"/>
    </row>
    <row r="58" spans="1:7" ht="30" customHeight="1" x14ac:dyDescent="0.45">
      <c r="A58" s="31" t="s">
        <v>102</v>
      </c>
      <c r="B58" s="32" t="str">
        <f>IF('Document &amp; Task Library'!C30="","",'Document &amp; Task Library'!C30)</f>
        <v>Savings Engine Agreement - Valenz Health</v>
      </c>
      <c r="C58" s="27" t="str">
        <f>IF('Document &amp; Task Library'!H30="","",'Document &amp; Task Library'!H30)</f>
        <v>Enrollment agreement with Valenz Health</v>
      </c>
      <c r="D58" s="36" t="str">
        <f>IF('Document &amp; Task Library'!F30="","",'Document &amp; Task Library'!F30)</f>
        <v>Client Executive/Finance</v>
      </c>
      <c r="E58" s="36" t="str">
        <f>IF('Document &amp; Task Library'!G30="","",'Document &amp; Task Library'!G30)</f>
        <v>CFO / Authorized Signer</v>
      </c>
      <c r="F58" s="33" t="str">
        <f>IF('Document &amp; Task Library'!E30="ALWAYS","Yes",IFERROR(INDEX('Client Setup'!$D$12:$D$38,MATCH('Document &amp; Task Library'!E30,'Client Setup'!$B$12:$B$38,0)),"No"))</f>
        <v>No</v>
      </c>
      <c r="G58" s="34"/>
    </row>
    <row r="59" spans="1:7" ht="42" hidden="1" customHeight="1" outlineLevel="1" x14ac:dyDescent="0.35">
      <c r="A59" s="35"/>
      <c r="B59" s="49" t="str">
        <f>"Why it matters:  "&amp;'Document &amp; Task Library'!I30&amp;"     What to expect:  "&amp;'Document &amp; Task Library'!J30</f>
        <v>Why it matters:  Enrollment/services agreement with Valenz Health, claims cost containment and repricing support, including reference-based pricing and bill review to reduce high-cost claims.     What to expect:  Signature authorizes data sharing and enrollment. Turnaround varies by vendor; confirm on the vendor kickoff call.</v>
      </c>
      <c r="C59" s="49"/>
      <c r="D59" s="49"/>
      <c r="E59" s="49"/>
      <c r="F59" s="49"/>
      <c r="G59" s="49"/>
    </row>
    <row r="60" spans="1:7" ht="21.75" customHeight="1" x14ac:dyDescent="0.35">
      <c r="A60" s="52" t="s">
        <v>103</v>
      </c>
      <c r="B60" s="52"/>
      <c r="C60" s="52"/>
      <c r="D60" s="52"/>
      <c r="E60" s="52"/>
      <c r="F60" s="52"/>
      <c r="G60" s="52"/>
    </row>
    <row r="61" spans="1:7" ht="30" customHeight="1" x14ac:dyDescent="0.45">
      <c r="A61" s="31" t="s">
        <v>102</v>
      </c>
      <c r="B61" s="32" t="str">
        <f>IF('Document &amp; Task Library'!C31="","",'Document &amp; Task Library'!C31)</f>
        <v>Build HRIS for Open Enrollment</v>
      </c>
      <c r="C61" s="27" t="str">
        <f>IF('Document &amp; Task Library'!H31="","",'Document &amp; Task Library'!H31)</f>
        <v>Loads new plan options and rates into your HRIS</v>
      </c>
      <c r="D61" s="36" t="str">
        <f>IF('Document &amp; Task Library'!F31="","",'Document &amp; Task Library'!F31)</f>
        <v>Client HR</v>
      </c>
      <c r="E61" s="36" t="str">
        <f>IF('Document &amp; Task Library'!G31="","",'Document &amp; Task Library'!G31)</f>
        <v/>
      </c>
      <c r="F61" s="33" t="str">
        <f>IF('Document &amp; Task Library'!E31="ALWAYS","Yes",IFERROR(INDEX('Client Setup'!$D$12:$D$38,MATCH('Document &amp; Task Library'!E31,'Client Setup'!$B$12:$B$38,0)),"No"))</f>
        <v>Yes</v>
      </c>
      <c r="G61" s="34"/>
    </row>
    <row r="62" spans="1:7" ht="42" hidden="1" customHeight="1" outlineLevel="1" x14ac:dyDescent="0.35">
      <c r="A62" s="35"/>
      <c r="B62" s="49" t="str">
        <f>"Why it matters:  "&amp;'Document &amp; Task Library'!I31&amp;"     What to expect:  "&amp;'Document &amp; Task Library'!J31</f>
        <v>Why it matters:  Configure the HR information system to reflect new plan options, rates, and eligibility rules ahead of open enrollment.     What to expect:  HR-owned. CCIG provides plan design specs to support setup.</v>
      </c>
      <c r="C62" s="49"/>
      <c r="D62" s="49"/>
      <c r="E62" s="49"/>
      <c r="F62" s="49"/>
      <c r="G62" s="49"/>
    </row>
    <row r="63" spans="1:7" ht="30" customHeight="1" x14ac:dyDescent="0.45">
      <c r="A63" s="31" t="s">
        <v>102</v>
      </c>
      <c r="B63" s="32" t="str">
        <f>IF('Document &amp; Task Library'!C32="","",'Document &amp; Task Library'!C32)</f>
        <v>Coordinate Open Enrollment Dates/Times</v>
      </c>
      <c r="C63" s="27" t="str">
        <f>IF('Document &amp; Task Library'!H32="","",'Document &amp; Task Library'!H32)</f>
        <v>Locks the open enrollment window and meeting schedule</v>
      </c>
      <c r="D63" s="36" t="str">
        <f>IF('Document &amp; Task Library'!F32="","",'Document &amp; Task Library'!F32)</f>
        <v>Client HR</v>
      </c>
      <c r="E63" s="36" t="str">
        <f>IF('Document &amp; Task Library'!G32="","",'Document &amp; Task Library'!G32)</f>
        <v/>
      </c>
      <c r="F63" s="33" t="str">
        <f>IF('Document &amp; Task Library'!E32="ALWAYS","Yes",IFERROR(INDEX('Client Setup'!$D$12:$D$38,MATCH('Document &amp; Task Library'!E32,'Client Setup'!$B$12:$B$38,0)),"No"))</f>
        <v>Yes</v>
      </c>
      <c r="G63" s="34"/>
    </row>
    <row r="64" spans="1:7" ht="42" hidden="1" customHeight="1" outlineLevel="1" x14ac:dyDescent="0.35">
      <c r="A64" s="35"/>
      <c r="B64" s="49" t="str">
        <f>"Why it matters:  "&amp;'Document &amp; Task Library'!I32&amp;"     What to expect:  "&amp;'Document &amp; Task Library'!J32</f>
        <v>Why it matters:  Finalize the open enrollment window and schedule employee meetings or webinars.     What to expect:  Lock this in early; it drives every other communication deadline.</v>
      </c>
      <c r="C64" s="49"/>
      <c r="D64" s="49"/>
      <c r="E64" s="49"/>
      <c r="F64" s="49"/>
      <c r="G64" s="49"/>
    </row>
    <row r="65" spans="1:7" ht="30" customHeight="1" x14ac:dyDescent="0.45">
      <c r="A65" s="31" t="s">
        <v>102</v>
      </c>
      <c r="B65" s="32" t="str">
        <f>IF('Document &amp; Task Library'!C33="","",'Document &amp; Task Library'!C33)</f>
        <v>Review Open Enrollment Communications &amp; Materials</v>
      </c>
      <c r="C65" s="27" t="str">
        <f>IF('Document &amp; Task Library'!H33="","",'Document &amp; Task Library'!H33)</f>
        <v>Approves employee enrollment guides and emails</v>
      </c>
      <c r="D65" s="36" t="str">
        <f>IF('Document &amp; Task Library'!F33="","",'Document &amp; Task Library'!F33)</f>
        <v>Client HR</v>
      </c>
      <c r="E65" s="36" t="str">
        <f>IF('Document &amp; Task Library'!G33="","",'Document &amp; Task Library'!G33)</f>
        <v/>
      </c>
      <c r="F65" s="33" t="str">
        <f>IF('Document &amp; Task Library'!E33="ALWAYS","Yes",IFERROR(INDEX('Client Setup'!$D$12:$D$38,MATCH('Document &amp; Task Library'!E33,'Client Setup'!$B$12:$B$38,0)),"No"))</f>
        <v>Yes</v>
      </c>
      <c r="G65" s="34"/>
    </row>
    <row r="66" spans="1:7" ht="42" hidden="1" customHeight="1" outlineLevel="1" x14ac:dyDescent="0.35">
      <c r="A66" s="35"/>
      <c r="B66" s="49" t="str">
        <f>"Why it matters:  "&amp;'Document &amp; Task Library'!I33&amp;"     What to expect:  "&amp;'Document &amp; Task Library'!J33</f>
        <v>Why it matters:  Review and approve employee-facing enrollment guides, emails, and presentation materials before distribution.     What to expect:  CCIG drafts the first version; HR reviews for accuracy and tone.</v>
      </c>
      <c r="C66" s="49"/>
      <c r="D66" s="49"/>
      <c r="E66" s="49"/>
      <c r="F66" s="49"/>
      <c r="G66" s="49"/>
    </row>
    <row r="67" spans="1:7" ht="30" customHeight="1" x14ac:dyDescent="0.45">
      <c r="A67" s="31" t="s">
        <v>102</v>
      </c>
      <c r="B67" s="32" t="str">
        <f>IF('Document &amp; Task Library'!C34="","",'Document &amp; Task Library'!C34)</f>
        <v>Complete Open Enrollment Eligibility File</v>
      </c>
      <c r="C67" s="27" t="str">
        <f>IF('Document &amp; Task Library'!H34="","",'Document &amp; Task Library'!H34)</f>
        <v>Submits the census file that loads member records</v>
      </c>
      <c r="D67" s="36" t="str">
        <f>IF('Document &amp; Task Library'!F34="","",'Document &amp; Task Library'!F34)</f>
        <v>Client HR</v>
      </c>
      <c r="E67" s="36" t="str">
        <f>IF('Document &amp; Task Library'!G34="","",'Document &amp; Task Library'!G34)</f>
        <v/>
      </c>
      <c r="F67" s="33" t="str">
        <f>IF('Document &amp; Task Library'!E34="ALWAYS","Yes",IFERROR(INDEX('Client Setup'!$D$12:$D$38,MATCH('Document &amp; Task Library'!E34,'Client Setup'!$B$12:$B$38,0)),"No"))</f>
        <v>Yes</v>
      </c>
      <c r="G67" s="34"/>
    </row>
    <row r="68" spans="1:7" ht="42" hidden="1" customHeight="1" outlineLevel="1" x14ac:dyDescent="0.35">
      <c r="A68" s="35"/>
      <c r="B68" s="49" t="str">
        <f>"Why it matters:  "&amp;'Document &amp; Task Library'!I34&amp;"     What to expect:  "&amp;'Document &amp; Task Library'!J34</f>
        <v>Why it matters:  Finalize and submit the eligibility census file the TPA and vendors use to load member records.     What to expect:  The single most time-sensitive HR deliverable. A late file delays ID cards and vendor access for members.</v>
      </c>
      <c r="C68" s="49"/>
      <c r="D68" s="49"/>
      <c r="E68" s="49"/>
      <c r="F68" s="49"/>
      <c r="G68" s="49"/>
    </row>
    <row r="69" spans="1:7" ht="21.75" customHeight="1" x14ac:dyDescent="0.35">
      <c r="A69" s="52" t="s">
        <v>108</v>
      </c>
      <c r="B69" s="52"/>
      <c r="C69" s="52"/>
      <c r="D69" s="52"/>
      <c r="E69" s="52"/>
      <c r="F69" s="52"/>
      <c r="G69" s="52"/>
    </row>
    <row r="70" spans="1:7" ht="30" customHeight="1" x14ac:dyDescent="0.45">
      <c r="A70" s="31" t="s">
        <v>102</v>
      </c>
      <c r="B70" s="32" t="str">
        <f>IF('Document &amp; Task Library'!C35="","",'Document &amp; Task Library'!C35)</f>
        <v>Establish Bank Account for Benefits</v>
      </c>
      <c r="C70" s="27" t="str">
        <f>IF('Document &amp; Task Library'!H35="","",'Document &amp; Task Library'!H35)</f>
        <v>Opens the account that funds claims payments</v>
      </c>
      <c r="D70" s="36" t="str">
        <f>IF('Document &amp; Task Library'!F35="","",'Document &amp; Task Library'!F35)</f>
        <v>Client Finance</v>
      </c>
      <c r="E70" s="36" t="str">
        <f>IF('Document &amp; Task Library'!G35="","",'Document &amp; Task Library'!G35)</f>
        <v/>
      </c>
      <c r="F70" s="33" t="str">
        <f>IF('Document &amp; Task Library'!E35="ALWAYS","Yes",IFERROR(INDEX('Client Setup'!$D$12:$D$38,MATCH('Document &amp; Task Library'!E35,'Client Setup'!$B$12:$B$38,0)),"No"))</f>
        <v>Yes</v>
      </c>
      <c r="G70" s="34"/>
    </row>
    <row r="71" spans="1:7" ht="42" hidden="1" customHeight="1" outlineLevel="1" x14ac:dyDescent="0.35">
      <c r="A71" s="35"/>
      <c r="B71" s="49" t="str">
        <f>"Why it matters:  "&amp;'Document &amp; Task Library'!I35&amp;"     What to expect:  "&amp;'Document &amp; Task Library'!J35</f>
        <v>Why it matters:  Open the dedicated bank account used to fund claims payments under the self-funded plan.     What to expect:  Banks typically need 5-10 business days. Start this early.</v>
      </c>
      <c r="C71" s="49"/>
      <c r="D71" s="49"/>
      <c r="E71" s="49"/>
      <c r="F71" s="49"/>
      <c r="G71" s="49"/>
    </row>
    <row r="72" spans="1:7" ht="30" customHeight="1" x14ac:dyDescent="0.45">
      <c r="A72" s="31" t="s">
        <v>102</v>
      </c>
      <c r="B72" s="32" t="str">
        <f>IF('Document &amp; Task Library'!C36="","",'Document &amp; Task Library'!C36)</f>
        <v>Review Sample Check Registers</v>
      </c>
      <c r="C72" s="27" t="str">
        <f>IF('Document &amp; Task Library'!H36="","",'Document &amp; Task Library'!H36)</f>
        <v>Confirms your claims funding and reporting format</v>
      </c>
      <c r="D72" s="36" t="str">
        <f>IF('Document &amp; Task Library'!F36="","",'Document &amp; Task Library'!F36)</f>
        <v>Client Finance</v>
      </c>
      <c r="E72" s="36" t="str">
        <f>IF('Document &amp; Task Library'!G36="","",'Document &amp; Task Library'!G36)</f>
        <v/>
      </c>
      <c r="F72" s="33" t="str">
        <f>IF('Document &amp; Task Library'!E36="ALWAYS","Yes",IFERROR(INDEX('Client Setup'!$D$12:$D$38,MATCH('Document &amp; Task Library'!E36,'Client Setup'!$B$12:$B$38,0)),"No"))</f>
        <v>Yes</v>
      </c>
      <c r="G72" s="34"/>
    </row>
    <row r="73" spans="1:7" ht="42" hidden="1" customHeight="1" outlineLevel="1" x14ac:dyDescent="0.35">
      <c r="A73" s="35"/>
      <c r="B73" s="49" t="str">
        <f>"Why it matters:  "&amp;'Document &amp; Task Library'!I36&amp;"     What to expect:  "&amp;'Document &amp; Task Library'!J36</f>
        <v>Why it matters:  Review sample TPA check registers to confirm the funding and reporting format Finance will receive going forward.     What to expect:  One-time review that sets up Finance's ongoing reconciliation process.</v>
      </c>
      <c r="C73" s="49"/>
      <c r="D73" s="49"/>
      <c r="E73" s="49"/>
      <c r="F73" s="49"/>
      <c r="G73" s="49"/>
    </row>
    <row r="74" spans="1:7" ht="21.75" customHeight="1" x14ac:dyDescent="0.35">
      <c r="A74" s="52" t="s">
        <v>104</v>
      </c>
      <c r="B74" s="52"/>
      <c r="C74" s="52"/>
      <c r="D74" s="52"/>
      <c r="E74" s="52"/>
      <c r="F74" s="52"/>
      <c r="G74" s="52"/>
    </row>
    <row r="75" spans="1:7" ht="30" customHeight="1" x14ac:dyDescent="0.45">
      <c r="A75" s="31" t="s">
        <v>102</v>
      </c>
      <c r="B75" s="32" t="str">
        <f>IF('Document &amp; Task Library'!C37="","",'Document &amp; Task Library'!C37)</f>
        <v>Complete Enrollment - CancerCare</v>
      </c>
      <c r="C75" s="27" t="str">
        <f>IF('Document &amp; Task Library'!H37="","",'Document &amp; Task Library'!H37)</f>
        <v>Activates CancerCare for your members</v>
      </c>
      <c r="D75" s="36" t="str">
        <f>IF('Document &amp; Task Library'!F37="","",'Document &amp; Task Library'!F37)</f>
        <v>Client HR</v>
      </c>
      <c r="E75" s="36" t="str">
        <f>IF('Document &amp; Task Library'!G37="","",'Document &amp; Task Library'!G37)</f>
        <v/>
      </c>
      <c r="F75" s="33" t="str">
        <f>IF('Document &amp; Task Library'!E37="ALWAYS","Yes",IFERROR(INDEX('Client Setup'!$D$12:$D$38,MATCH('Document &amp; Task Library'!E37,'Client Setup'!$B$12:$B$38,0)),"No"))</f>
        <v>No</v>
      </c>
      <c r="G75" s="34"/>
    </row>
    <row r="76" spans="1:7" ht="42" hidden="1" customHeight="1" outlineLevel="1" x14ac:dyDescent="0.35">
      <c r="A76" s="35"/>
      <c r="B76" s="49" t="str">
        <f>"Why it matters:  "&amp;'Document &amp; Task Library'!I37&amp;"     What to expect:  "&amp;'Document &amp; Task Library'!J37</f>
        <v>Why it matters:  Finalize the eligibility feed and member enrollment setup with CancerCare so the solution is active for members at go-live.     What to expect:  Coordinated on the vendor kickoff call above; exact timing varies by vendor.</v>
      </c>
      <c r="C76" s="49"/>
      <c r="D76" s="49"/>
      <c r="E76" s="49"/>
      <c r="F76" s="49"/>
      <c r="G76" s="49"/>
    </row>
    <row r="77" spans="1:7" ht="30" customHeight="1" x14ac:dyDescent="0.45">
      <c r="A77" s="31" t="s">
        <v>102</v>
      </c>
      <c r="B77" s="32" t="str">
        <f>IF('Document &amp; Task Library'!C38="","",'Document &amp; Task Library'!C38)</f>
        <v>Complete Enrollment - eHealth</v>
      </c>
      <c r="C77" s="27" t="str">
        <f>IF('Document &amp; Task Library'!H38="","",'Document &amp; Task Library'!H38)</f>
        <v>Activates eHealth for your members</v>
      </c>
      <c r="D77" s="36" t="str">
        <f>IF('Document &amp; Task Library'!F38="","",'Document &amp; Task Library'!F38)</f>
        <v>Client HR</v>
      </c>
      <c r="E77" s="36" t="str">
        <f>IF('Document &amp; Task Library'!G38="","",'Document &amp; Task Library'!G38)</f>
        <v/>
      </c>
      <c r="F77" s="33" t="str">
        <f>IF('Document &amp; Task Library'!E38="ALWAYS","Yes",IFERROR(INDEX('Client Setup'!$D$12:$D$38,MATCH('Document &amp; Task Library'!E38,'Client Setup'!$B$12:$B$38,0)),"No"))</f>
        <v>No</v>
      </c>
      <c r="G77" s="34"/>
    </row>
    <row r="78" spans="1:7" ht="42" hidden="1" customHeight="1" outlineLevel="1" x14ac:dyDescent="0.35">
      <c r="A78" s="35"/>
      <c r="B78" s="49" t="str">
        <f>"Why it matters:  "&amp;'Document &amp; Task Library'!I38&amp;"     What to expect:  "&amp;'Document &amp; Task Library'!J38</f>
        <v>Why it matters:  Finalize the eligibility feed and member enrollment setup with eHealth so the solution is active for members at go-live.     What to expect:  Coordinated on the vendor kickoff call above; exact timing varies by vendor.</v>
      </c>
      <c r="C78" s="49"/>
      <c r="D78" s="49"/>
      <c r="E78" s="49"/>
      <c r="F78" s="49"/>
      <c r="G78" s="49"/>
    </row>
    <row r="79" spans="1:7" ht="30" customHeight="1" x14ac:dyDescent="0.45">
      <c r="A79" s="31" t="s">
        <v>102</v>
      </c>
      <c r="B79" s="32" t="str">
        <f>IF('Document &amp; Task Library'!C39="","",'Document &amp; Task Library'!C39)</f>
        <v>Complete Enrollment - First Stop Health</v>
      </c>
      <c r="C79" s="27" t="str">
        <f>IF('Document &amp; Task Library'!H39="","",'Document &amp; Task Library'!H39)</f>
        <v>Activates First Stop Health for your members</v>
      </c>
      <c r="D79" s="36" t="str">
        <f>IF('Document &amp; Task Library'!F39="","",'Document &amp; Task Library'!F39)</f>
        <v>Client HR</v>
      </c>
      <c r="E79" s="36" t="str">
        <f>IF('Document &amp; Task Library'!G39="","",'Document &amp; Task Library'!G39)</f>
        <v/>
      </c>
      <c r="F79" s="33" t="str">
        <f>IF('Document &amp; Task Library'!E39="ALWAYS","Yes",IFERROR(INDEX('Client Setup'!$D$12:$D$38,MATCH('Document &amp; Task Library'!E39,'Client Setup'!$B$12:$B$38,0)),"No"))</f>
        <v>No</v>
      </c>
      <c r="G79" s="34"/>
    </row>
    <row r="80" spans="1:7" ht="42" hidden="1" customHeight="1" outlineLevel="1" x14ac:dyDescent="0.35">
      <c r="A80" s="35"/>
      <c r="B80" s="49" t="str">
        <f>"Why it matters:  "&amp;'Document &amp; Task Library'!I39&amp;"     What to expect:  "&amp;'Document &amp; Task Library'!J39</f>
        <v>Why it matters:  Finalize the eligibility feed and member enrollment setup with First Stop Health so the solution is active for members at go-live.     What to expect:  Coordinated on the vendor kickoff call above; exact timing varies by vendor.</v>
      </c>
      <c r="C80" s="49"/>
      <c r="D80" s="49"/>
      <c r="E80" s="49"/>
      <c r="F80" s="49"/>
      <c r="G80" s="49"/>
    </row>
    <row r="81" spans="1:7" ht="30" customHeight="1" x14ac:dyDescent="0.45">
      <c r="A81" s="31" t="s">
        <v>102</v>
      </c>
      <c r="B81" s="32" t="str">
        <f>IF('Document &amp; Task Library'!C40="","",'Document &amp; Task Library'!C40)</f>
        <v>Complete Enrollment - Found</v>
      </c>
      <c r="C81" s="27" t="str">
        <f>IF('Document &amp; Task Library'!H40="","",'Document &amp; Task Library'!H40)</f>
        <v>Activates Found for your members</v>
      </c>
      <c r="D81" s="36" t="str">
        <f>IF('Document &amp; Task Library'!F40="","",'Document &amp; Task Library'!F40)</f>
        <v>Client HR</v>
      </c>
      <c r="E81" s="36" t="str">
        <f>IF('Document &amp; Task Library'!G40="","",'Document &amp; Task Library'!G40)</f>
        <v/>
      </c>
      <c r="F81" s="33" t="str">
        <f>IF('Document &amp; Task Library'!E40="ALWAYS","Yes",IFERROR(INDEX('Client Setup'!$D$12:$D$38,MATCH('Document &amp; Task Library'!E40,'Client Setup'!$B$12:$B$38,0)),"No"))</f>
        <v>No</v>
      </c>
      <c r="G81" s="34"/>
    </row>
    <row r="82" spans="1:7" ht="42" hidden="1" customHeight="1" outlineLevel="1" x14ac:dyDescent="0.35">
      <c r="A82" s="35"/>
      <c r="B82" s="49" t="str">
        <f>"Why it matters:  "&amp;'Document &amp; Task Library'!I40&amp;"     What to expect:  "&amp;'Document &amp; Task Library'!J40</f>
        <v>Why it matters:  Finalize the eligibility feed and member enrollment setup with Found so the solution is active for members at go-live.     What to expect:  Coordinated on the vendor kickoff call above; exact timing varies by vendor.</v>
      </c>
      <c r="C82" s="49"/>
      <c r="D82" s="49"/>
      <c r="E82" s="49"/>
      <c r="F82" s="49"/>
      <c r="G82" s="49"/>
    </row>
    <row r="83" spans="1:7" ht="30" customHeight="1" x14ac:dyDescent="0.45">
      <c r="A83" s="31" t="s">
        <v>102</v>
      </c>
      <c r="B83" s="32" t="str">
        <f>IF('Document &amp; Task Library'!C41="","",'Document &amp; Task Library'!C41)</f>
        <v>Complete Enrollment - HUSK</v>
      </c>
      <c r="C83" s="27" t="str">
        <f>IF('Document &amp; Task Library'!H41="","",'Document &amp; Task Library'!H41)</f>
        <v>Activates HUSK for your members</v>
      </c>
      <c r="D83" s="36" t="str">
        <f>IF('Document &amp; Task Library'!F41="","",'Document &amp; Task Library'!F41)</f>
        <v>Client HR</v>
      </c>
      <c r="E83" s="36" t="str">
        <f>IF('Document &amp; Task Library'!G41="","",'Document &amp; Task Library'!G41)</f>
        <v/>
      </c>
      <c r="F83" s="33" t="str">
        <f>IF('Document &amp; Task Library'!E41="ALWAYS","Yes",IFERROR(INDEX('Client Setup'!$D$12:$D$38,MATCH('Document &amp; Task Library'!E41,'Client Setup'!$B$12:$B$38,0)),"No"))</f>
        <v>No</v>
      </c>
      <c r="G83" s="34"/>
    </row>
    <row r="84" spans="1:7" ht="42" hidden="1" customHeight="1" outlineLevel="1" x14ac:dyDescent="0.35">
      <c r="A84" s="35"/>
      <c r="B84" s="49" t="str">
        <f>"Why it matters:  "&amp;'Document &amp; Task Library'!I41&amp;"     What to expect:  "&amp;'Document &amp; Task Library'!J41</f>
        <v>Why it matters:  Finalize the eligibility feed and member enrollment setup with HUSK so the solution is active for members at go-live.     What to expect:  Coordinated on the vendor kickoff call above; exact timing varies by vendor.</v>
      </c>
      <c r="C84" s="49"/>
      <c r="D84" s="49"/>
      <c r="E84" s="49"/>
      <c r="F84" s="49"/>
      <c r="G84" s="49"/>
    </row>
    <row r="85" spans="1:7" ht="30" customHeight="1" x14ac:dyDescent="0.45">
      <c r="A85" s="31" t="s">
        <v>102</v>
      </c>
      <c r="B85" s="32" t="str">
        <f>IF('Document &amp; Task Library'!C42="","",'Document &amp; Task Library'!C42)</f>
        <v>Complete Enrollment - Lyra Select</v>
      </c>
      <c r="C85" s="27" t="str">
        <f>IF('Document &amp; Task Library'!H42="","",'Document &amp; Task Library'!H42)</f>
        <v>Activates Lyra Select for your members</v>
      </c>
      <c r="D85" s="36" t="str">
        <f>IF('Document &amp; Task Library'!F42="","",'Document &amp; Task Library'!F42)</f>
        <v>Client HR</v>
      </c>
      <c r="E85" s="36" t="str">
        <f>IF('Document &amp; Task Library'!G42="","",'Document &amp; Task Library'!G42)</f>
        <v/>
      </c>
      <c r="F85" s="33" t="str">
        <f>IF('Document &amp; Task Library'!E42="ALWAYS","Yes",IFERROR(INDEX('Client Setup'!$D$12:$D$38,MATCH('Document &amp; Task Library'!E42,'Client Setup'!$B$12:$B$38,0)),"No"))</f>
        <v>No</v>
      </c>
      <c r="G85" s="34"/>
    </row>
    <row r="86" spans="1:7" ht="42" hidden="1" customHeight="1" outlineLevel="1" x14ac:dyDescent="0.35">
      <c r="A86" s="35"/>
      <c r="B86" s="49" t="str">
        <f>"Why it matters:  "&amp;'Document &amp; Task Library'!I42&amp;"     What to expect:  "&amp;'Document &amp; Task Library'!J42</f>
        <v>Why it matters:  Finalize the eligibility feed and member enrollment setup with Lyra Select so the solution is active for members at go-live.     What to expect:  Coordinated on the vendor kickoff call above; exact timing varies by vendor.</v>
      </c>
      <c r="C86" s="49"/>
      <c r="D86" s="49"/>
      <c r="E86" s="49"/>
      <c r="F86" s="49"/>
      <c r="G86" s="49"/>
    </row>
    <row r="87" spans="1:7" ht="30" customHeight="1" x14ac:dyDescent="0.45">
      <c r="A87" s="31" t="s">
        <v>102</v>
      </c>
      <c r="B87" s="32" t="str">
        <f>IF('Document &amp; Task Library'!C43="","",'Document &amp; Task Library'!C43)</f>
        <v>Complete Enrollment - The Phia Group</v>
      </c>
      <c r="C87" s="27" t="str">
        <f>IF('Document &amp; Task Library'!H43="","",'Document &amp; Task Library'!H43)</f>
        <v>Activates The Phia Group for your members</v>
      </c>
      <c r="D87" s="36" t="str">
        <f>IF('Document &amp; Task Library'!F43="","",'Document &amp; Task Library'!F43)</f>
        <v>Client HR</v>
      </c>
      <c r="E87" s="36" t="str">
        <f>IF('Document &amp; Task Library'!G43="","",'Document &amp; Task Library'!G43)</f>
        <v/>
      </c>
      <c r="F87" s="33" t="str">
        <f>IF('Document &amp; Task Library'!E43="ALWAYS","Yes",IFERROR(INDEX('Client Setup'!$D$12:$D$38,MATCH('Document &amp; Task Library'!E43,'Client Setup'!$B$12:$B$38,0)),"No"))</f>
        <v>No</v>
      </c>
      <c r="G87" s="34"/>
    </row>
    <row r="88" spans="1:7" ht="42" hidden="1" customHeight="1" outlineLevel="1" x14ac:dyDescent="0.35">
      <c r="A88" s="35"/>
      <c r="B88" s="49" t="str">
        <f>"Why it matters:  "&amp;'Document &amp; Task Library'!I43&amp;"     What to expect:  "&amp;'Document &amp; Task Library'!J43</f>
        <v>Why it matters:  Finalize the eligibility feed and member enrollment setup with The Phia Group so the solution is active for members at go-live.     What to expect:  Coordinated on the vendor kickoff call above; exact timing varies by vendor.</v>
      </c>
      <c r="C88" s="49"/>
      <c r="D88" s="49"/>
      <c r="E88" s="49"/>
      <c r="F88" s="49"/>
      <c r="G88" s="49"/>
    </row>
    <row r="89" spans="1:7" ht="30" customHeight="1" x14ac:dyDescent="0.45">
      <c r="A89" s="31" t="s">
        <v>102</v>
      </c>
      <c r="B89" s="32" t="str">
        <f>IF('Document &amp; Task Library'!C44="","",'Document &amp; Task Library'!C44)</f>
        <v>Complete Enrollment - Progeny Health</v>
      </c>
      <c r="C89" s="27" t="str">
        <f>IF('Document &amp; Task Library'!H44="","",'Document &amp; Task Library'!H44)</f>
        <v>Activates Progeny Health for your members</v>
      </c>
      <c r="D89" s="36" t="str">
        <f>IF('Document &amp; Task Library'!F44="","",'Document &amp; Task Library'!F44)</f>
        <v>Client HR</v>
      </c>
      <c r="E89" s="36" t="str">
        <f>IF('Document &amp; Task Library'!G44="","",'Document &amp; Task Library'!G44)</f>
        <v/>
      </c>
      <c r="F89" s="33" t="str">
        <f>IF('Document &amp; Task Library'!E44="ALWAYS","Yes",IFERROR(INDEX('Client Setup'!$D$12:$D$38,MATCH('Document &amp; Task Library'!E44,'Client Setup'!$B$12:$B$38,0)),"No"))</f>
        <v>No</v>
      </c>
      <c r="G89" s="34"/>
    </row>
    <row r="90" spans="1:7" ht="42" hidden="1" customHeight="1" outlineLevel="1" x14ac:dyDescent="0.35">
      <c r="A90" s="35"/>
      <c r="B90" s="49" t="str">
        <f>"Why it matters:  "&amp;'Document &amp; Task Library'!I44&amp;"     What to expect:  "&amp;'Document &amp; Task Library'!J44</f>
        <v>Why it matters:  Finalize the eligibility feed and member enrollment setup with Progeny Health so the solution is active for members at go-live.     What to expect:  Coordinated on the vendor kickoff call above; exact timing varies by vendor.</v>
      </c>
      <c r="C90" s="49"/>
      <c r="D90" s="49"/>
      <c r="E90" s="49"/>
      <c r="F90" s="49"/>
      <c r="G90" s="49"/>
    </row>
    <row r="91" spans="1:7" ht="30" customHeight="1" x14ac:dyDescent="0.45">
      <c r="A91" s="31" t="s">
        <v>102</v>
      </c>
      <c r="B91" s="32" t="str">
        <f>IF('Document &amp; Task Library'!C45="","",'Document &amp; Task Library'!C45)</f>
        <v>Complete Enrollment - Renalogic</v>
      </c>
      <c r="C91" s="27" t="str">
        <f>IF('Document &amp; Task Library'!H45="","",'Document &amp; Task Library'!H45)</f>
        <v>Activates Renalogic for your members</v>
      </c>
      <c r="D91" s="36" t="str">
        <f>IF('Document &amp; Task Library'!F45="","",'Document &amp; Task Library'!F45)</f>
        <v>Client HR</v>
      </c>
      <c r="E91" s="36" t="str">
        <f>IF('Document &amp; Task Library'!G45="","",'Document &amp; Task Library'!G45)</f>
        <v/>
      </c>
      <c r="F91" s="33" t="str">
        <f>IF('Document &amp; Task Library'!E45="ALWAYS","Yes",IFERROR(INDEX('Client Setup'!$D$12:$D$38,MATCH('Document &amp; Task Library'!E45,'Client Setup'!$B$12:$B$38,0)),"No"))</f>
        <v>No</v>
      </c>
      <c r="G91" s="34"/>
    </row>
    <row r="92" spans="1:7" ht="42" hidden="1" customHeight="1" outlineLevel="1" x14ac:dyDescent="0.35">
      <c r="A92" s="35"/>
      <c r="B92" s="49" t="str">
        <f>"Why it matters:  "&amp;'Document &amp; Task Library'!I45&amp;"     What to expect:  "&amp;'Document &amp; Task Library'!J45</f>
        <v>Why it matters:  Finalize the eligibility feed and member enrollment setup with Renalogic so the solution is active for members at go-live.     What to expect:  Coordinated on the vendor kickoff call above; exact timing varies by vendor.</v>
      </c>
      <c r="C92" s="49"/>
      <c r="D92" s="49"/>
      <c r="E92" s="49"/>
      <c r="F92" s="49"/>
      <c r="G92" s="49"/>
    </row>
    <row r="93" spans="1:7" ht="30" customHeight="1" x14ac:dyDescent="0.45">
      <c r="A93" s="31" t="s">
        <v>102</v>
      </c>
      <c r="B93" s="32" t="str">
        <f>IF('Document &amp; Task Library'!C46="","",'Document &amp; Task Library'!C46)</f>
        <v>Complete Enrollment - Rightway</v>
      </c>
      <c r="C93" s="27" t="str">
        <f>IF('Document &amp; Task Library'!H46="","",'Document &amp; Task Library'!H46)</f>
        <v>Activates Rightway for your members</v>
      </c>
      <c r="D93" s="36" t="str">
        <f>IF('Document &amp; Task Library'!F46="","",'Document &amp; Task Library'!F46)</f>
        <v>Client HR</v>
      </c>
      <c r="E93" s="36" t="str">
        <f>IF('Document &amp; Task Library'!G46="","",'Document &amp; Task Library'!G46)</f>
        <v/>
      </c>
      <c r="F93" s="33" t="str">
        <f>IF('Document &amp; Task Library'!E46="ALWAYS","Yes",IFERROR(INDEX('Client Setup'!$D$12:$D$38,MATCH('Document &amp; Task Library'!E46,'Client Setup'!$B$12:$B$38,0)),"No"))</f>
        <v>No</v>
      </c>
      <c r="G93" s="34"/>
    </row>
    <row r="94" spans="1:7" ht="42" hidden="1" customHeight="1" outlineLevel="1" x14ac:dyDescent="0.35">
      <c r="A94" s="35"/>
      <c r="B94" s="49" t="str">
        <f>"Why it matters:  "&amp;'Document &amp; Task Library'!I46&amp;"     What to expect:  "&amp;'Document &amp; Task Library'!J46</f>
        <v>Why it matters:  Finalize the eligibility feed and member enrollment setup with Rightway so the solution is active for members at go-live.     What to expect:  Coordinated on the vendor kickoff call above; exact timing varies by vendor.</v>
      </c>
      <c r="C94" s="49"/>
      <c r="D94" s="49"/>
      <c r="E94" s="49"/>
      <c r="F94" s="49"/>
      <c r="G94" s="49"/>
    </row>
    <row r="95" spans="1:7" ht="30" customHeight="1" x14ac:dyDescent="0.45">
      <c r="A95" s="31" t="s">
        <v>102</v>
      </c>
      <c r="B95" s="32" t="str">
        <f>IF('Document &amp; Task Library'!C47="","",'Document &amp; Task Library'!C47)</f>
        <v>Complete Enrollment - SmartConnect (powered by SmartMatch)</v>
      </c>
      <c r="C95" s="27" t="str">
        <f>IF('Document &amp; Task Library'!H47="","",'Document &amp; Task Library'!H47)</f>
        <v>Activates SmartConnect (powered by SmartMatch) for your members</v>
      </c>
      <c r="D95" s="36" t="str">
        <f>IF('Document &amp; Task Library'!F47="","",'Document &amp; Task Library'!F47)</f>
        <v>Client HR</v>
      </c>
      <c r="E95" s="36" t="str">
        <f>IF('Document &amp; Task Library'!G47="","",'Document &amp; Task Library'!G47)</f>
        <v/>
      </c>
      <c r="F95" s="33" t="str">
        <f>IF('Document &amp; Task Library'!E47="ALWAYS","Yes",IFERROR(INDEX('Client Setup'!$D$12:$D$38,MATCH('Document &amp; Task Library'!E47,'Client Setup'!$B$12:$B$38,0)),"No"))</f>
        <v>No</v>
      </c>
      <c r="G95" s="34"/>
    </row>
    <row r="96" spans="1:7" ht="42" hidden="1" customHeight="1" outlineLevel="1" x14ac:dyDescent="0.35">
      <c r="A96" s="35"/>
      <c r="B96" s="49" t="str">
        <f>"Why it matters:  "&amp;'Document &amp; Task Library'!I47&amp;"     What to expect:  "&amp;'Document &amp; Task Library'!J47</f>
        <v>Why it matters:  Finalize the eligibility feed and member enrollment setup with SmartConnect (powered by SmartMatch) so the solution is active for members at go-live.     What to expect:  Coordinated on the vendor kickoff call above; exact timing varies by vendor.</v>
      </c>
      <c r="C96" s="49"/>
      <c r="D96" s="49"/>
      <c r="E96" s="49"/>
      <c r="F96" s="49"/>
      <c r="G96" s="49"/>
    </row>
    <row r="97" spans="1:7" ht="30" customHeight="1" x14ac:dyDescent="0.45">
      <c r="A97" s="31" t="s">
        <v>102</v>
      </c>
      <c r="B97" s="32" t="str">
        <f>IF('Document &amp; Task Library'!C48="","",'Document &amp; Task Library'!C48)</f>
        <v>Complete Enrollment - Springbuk</v>
      </c>
      <c r="C97" s="27" t="str">
        <f>IF('Document &amp; Task Library'!H48="","",'Document &amp; Task Library'!H48)</f>
        <v>Activates Springbuk for your members</v>
      </c>
      <c r="D97" s="36" t="str">
        <f>IF('Document &amp; Task Library'!F48="","",'Document &amp; Task Library'!F48)</f>
        <v>Client HR</v>
      </c>
      <c r="E97" s="36" t="str">
        <f>IF('Document &amp; Task Library'!G48="","",'Document &amp; Task Library'!G48)</f>
        <v/>
      </c>
      <c r="F97" s="33" t="str">
        <f>IF('Document &amp; Task Library'!E48="ALWAYS","Yes",IFERROR(INDEX('Client Setup'!$D$12:$D$38,MATCH('Document &amp; Task Library'!E48,'Client Setup'!$B$12:$B$38,0)),"No"))</f>
        <v>No</v>
      </c>
      <c r="G97" s="34"/>
    </row>
    <row r="98" spans="1:7" ht="42" hidden="1" customHeight="1" outlineLevel="1" x14ac:dyDescent="0.35">
      <c r="A98" s="35"/>
      <c r="B98" s="49" t="str">
        <f>"Why it matters:  "&amp;'Document &amp; Task Library'!I48&amp;"     What to expect:  "&amp;'Document &amp; Task Library'!J48</f>
        <v>Why it matters:  Finalize the eligibility feed and member enrollment setup with Springbuk so the solution is active for members at go-live.     What to expect:  Coordinated on the vendor kickoff call above; exact timing varies by vendor.</v>
      </c>
      <c r="C98" s="49"/>
      <c r="D98" s="49"/>
      <c r="E98" s="49"/>
      <c r="F98" s="49"/>
      <c r="G98" s="49"/>
    </row>
    <row r="99" spans="1:7" ht="30" customHeight="1" x14ac:dyDescent="0.45">
      <c r="A99" s="31" t="s">
        <v>102</v>
      </c>
      <c r="B99" s="32" t="str">
        <f>IF('Document &amp; Task Library'!C49="","",'Document &amp; Task Library'!C49)</f>
        <v>Complete Enrollment - Valenz Health</v>
      </c>
      <c r="C99" s="27" t="str">
        <f>IF('Document &amp; Task Library'!H49="","",'Document &amp; Task Library'!H49)</f>
        <v>Activates Valenz Health for your members</v>
      </c>
      <c r="D99" s="36" t="str">
        <f>IF('Document &amp; Task Library'!F49="","",'Document &amp; Task Library'!F49)</f>
        <v>Client HR</v>
      </c>
      <c r="E99" s="36" t="str">
        <f>IF('Document &amp; Task Library'!G49="","",'Document &amp; Task Library'!G49)</f>
        <v/>
      </c>
      <c r="F99" s="33" t="str">
        <f>IF('Document &amp; Task Library'!E49="ALWAYS","Yes",IFERROR(INDEX('Client Setup'!$D$12:$D$38,MATCH('Document &amp; Task Library'!E49,'Client Setup'!$B$12:$B$38,0)),"No"))</f>
        <v>No</v>
      </c>
      <c r="G99" s="34"/>
    </row>
    <row r="100" spans="1:7" ht="42" hidden="1" customHeight="1" outlineLevel="1" x14ac:dyDescent="0.35">
      <c r="A100" s="35"/>
      <c r="B100" s="49" t="str">
        <f>"Why it matters:  "&amp;'Document &amp; Task Library'!I49&amp;"     What to expect:  "&amp;'Document &amp; Task Library'!J49</f>
        <v>Why it matters:  Finalize the eligibility feed and member enrollment setup with Valenz Health so the solution is active for members at go-live.     What to expect:  Coordinated on the vendor kickoff call above; exact timing varies by vendor.</v>
      </c>
      <c r="C100" s="49"/>
      <c r="D100" s="49"/>
      <c r="E100" s="49"/>
      <c r="F100" s="49"/>
      <c r="G100" s="49"/>
    </row>
  </sheetData>
  <autoFilter ref="A5:G100" xr:uid="{00000000-0009-0000-0000-000006000000}"/>
  <mergeCells count="53">
    <mergeCell ref="B96:G96"/>
    <mergeCell ref="B98:G98"/>
    <mergeCell ref="B100:G100"/>
    <mergeCell ref="B86:G86"/>
    <mergeCell ref="B88:G88"/>
    <mergeCell ref="B90:G90"/>
    <mergeCell ref="B92:G92"/>
    <mergeCell ref="B94:G94"/>
    <mergeCell ref="B76:G76"/>
    <mergeCell ref="B78:G78"/>
    <mergeCell ref="B80:G80"/>
    <mergeCell ref="B82:G82"/>
    <mergeCell ref="B84:G84"/>
    <mergeCell ref="B68:G68"/>
    <mergeCell ref="A69:G69"/>
    <mergeCell ref="B71:G71"/>
    <mergeCell ref="B73:G73"/>
    <mergeCell ref="A74:G74"/>
    <mergeCell ref="B59:G59"/>
    <mergeCell ref="A60:G60"/>
    <mergeCell ref="B62:G62"/>
    <mergeCell ref="B64:G64"/>
    <mergeCell ref="B66:G66"/>
    <mergeCell ref="B49:G49"/>
    <mergeCell ref="B51:G51"/>
    <mergeCell ref="B53:G53"/>
    <mergeCell ref="B55:G55"/>
    <mergeCell ref="B57:G57"/>
    <mergeCell ref="B39:G39"/>
    <mergeCell ref="B41:G41"/>
    <mergeCell ref="B43:G43"/>
    <mergeCell ref="B45:G45"/>
    <mergeCell ref="B47:G47"/>
    <mergeCell ref="B29:G29"/>
    <mergeCell ref="B31:G31"/>
    <mergeCell ref="B33:G33"/>
    <mergeCell ref="B35:G35"/>
    <mergeCell ref="B37:G37"/>
    <mergeCell ref="A19:G19"/>
    <mergeCell ref="B21:G21"/>
    <mergeCell ref="B23:G23"/>
    <mergeCell ref="B25:G25"/>
    <mergeCell ref="B27:G27"/>
    <mergeCell ref="B10:G10"/>
    <mergeCell ref="B12:G12"/>
    <mergeCell ref="B14:G14"/>
    <mergeCell ref="B16:G16"/>
    <mergeCell ref="B18:G18"/>
    <mergeCell ref="A1:G1"/>
    <mergeCell ref="A2:G2"/>
    <mergeCell ref="A3:G3"/>
    <mergeCell ref="A6:G6"/>
    <mergeCell ref="B8:G8"/>
  </mergeCells>
  <conditionalFormatting sqref="A6:A100">
    <cfRule type="expression" dxfId="2" priority="3">
      <formula>$A6="Complete"</formula>
    </cfRule>
    <cfRule type="expression" dxfId="1" priority="4">
      <formula>$A6="In Progress"</formula>
    </cfRule>
  </conditionalFormatting>
  <conditionalFormatting sqref="A6:G100">
    <cfRule type="expression" dxfId="0" priority="2">
      <formula>$F6="No"</formula>
    </cfRule>
  </conditionalFormatting>
  <dataValidations count="1">
    <dataValidation type="list" allowBlank="1" sqref="A7 A9 A11 A13 A15 A17 A20 A22 A24 A26 A28 A30 A32 A34 A36 A38 A40 A42 A44 A46 A48 A50 A52 A54 A56 A58 A61 A63 A65 A67 A70 A72 A75 A77 A79 A81 A83 A85 A87 A89 A91 A93 A95 A97 A99" xr:uid="{00000000-0002-0000-0600-000000000000}">
      <formula1>"Not Started,In Progress,Complete,N/A"</formula1>
      <formula2>0</formula2>
    </dataValidation>
  </dataValidations>
  <pageMargins left="0.4" right="0.4" top="0.5" bottom="0.5"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FC7CB"/>
    <pageSetUpPr fitToPage="1"/>
  </sheetPr>
  <dimension ref="A1:K49"/>
  <sheetViews>
    <sheetView showGridLines="0" zoomScaleNormal="100" workbookViewId="0">
      <pane ySplit="4" topLeftCell="A5" activePane="bottomLeft" state="frozen"/>
      <selection pane="bottomLeft"/>
    </sheetView>
  </sheetViews>
  <sheetFormatPr defaultColWidth="8.6328125" defaultRowHeight="14.5" x14ac:dyDescent="0.35"/>
  <cols>
    <col min="1" max="1" width="5" customWidth="1"/>
    <col min="2" max="2" width="24" customWidth="1"/>
    <col min="3" max="3" width="30" customWidth="1"/>
    <col min="4" max="4" width="10" customWidth="1"/>
    <col min="5" max="5" width="16" customWidth="1"/>
    <col min="6" max="6" width="20" customWidth="1"/>
    <col min="7" max="7" width="17" customWidth="1"/>
    <col min="8" max="8" width="32" customWidth="1"/>
    <col min="9" max="9" width="40" customWidth="1"/>
    <col min="10" max="10" width="36" customWidth="1"/>
    <col min="11" max="11" width="20" customWidth="1"/>
  </cols>
  <sheetData>
    <row r="1" spans="1:11" ht="30" customHeight="1" x14ac:dyDescent="0.35">
      <c r="A1" s="53" t="s">
        <v>115</v>
      </c>
      <c r="B1" s="53"/>
      <c r="C1" s="53"/>
      <c r="D1" s="53"/>
      <c r="E1" s="53"/>
      <c r="F1" s="53"/>
      <c r="G1" s="53"/>
      <c r="H1" s="53"/>
      <c r="I1" s="53"/>
      <c r="J1" s="53"/>
      <c r="K1" s="53"/>
    </row>
    <row r="2" spans="1:11" ht="25.5" customHeight="1" x14ac:dyDescent="0.45">
      <c r="A2" s="54" t="s">
        <v>116</v>
      </c>
      <c r="B2" s="54"/>
      <c r="C2" s="54"/>
      <c r="D2" s="54"/>
      <c r="E2" s="54"/>
      <c r="F2" s="54"/>
      <c r="G2" s="54"/>
      <c r="H2" s="54"/>
      <c r="I2" s="54"/>
      <c r="J2" s="54"/>
      <c r="K2" s="54"/>
    </row>
    <row r="4" spans="1:11" ht="27.75" customHeight="1" x14ac:dyDescent="0.35">
      <c r="A4" s="37" t="s">
        <v>117</v>
      </c>
      <c r="B4" s="37" t="s">
        <v>118</v>
      </c>
      <c r="C4" s="37" t="s">
        <v>119</v>
      </c>
      <c r="D4" s="37" t="s">
        <v>120</v>
      </c>
      <c r="E4" s="37" t="s">
        <v>121</v>
      </c>
      <c r="F4" s="37" t="s">
        <v>113</v>
      </c>
      <c r="G4" s="37" t="s">
        <v>114</v>
      </c>
      <c r="H4" s="37" t="s">
        <v>122</v>
      </c>
      <c r="I4" s="37" t="s">
        <v>123</v>
      </c>
      <c r="J4" s="37" t="s">
        <v>124</v>
      </c>
      <c r="K4" s="37" t="s">
        <v>125</v>
      </c>
    </row>
    <row r="5" spans="1:11" ht="45.75" customHeight="1" x14ac:dyDescent="0.35">
      <c r="A5" s="38">
        <v>1</v>
      </c>
      <c r="B5" s="39" t="s">
        <v>126</v>
      </c>
      <c r="C5" s="39" t="s">
        <v>127</v>
      </c>
      <c r="D5" s="40" t="s">
        <v>128</v>
      </c>
      <c r="E5" s="39" t="s">
        <v>129</v>
      </c>
      <c r="F5" s="39" t="s">
        <v>130</v>
      </c>
      <c r="G5" s="39"/>
      <c r="H5" s="39" t="s">
        <v>131</v>
      </c>
      <c r="I5" s="39" t="s">
        <v>132</v>
      </c>
      <c r="J5" s="41" t="s">
        <v>133</v>
      </c>
      <c r="K5" s="39"/>
    </row>
    <row r="6" spans="1:11" ht="45.75" customHeight="1" x14ac:dyDescent="0.35">
      <c r="A6" s="42">
        <v>2</v>
      </c>
      <c r="B6" s="43" t="s">
        <v>126</v>
      </c>
      <c r="C6" s="43" t="s">
        <v>134</v>
      </c>
      <c r="D6" s="44" t="s">
        <v>128</v>
      </c>
      <c r="E6" s="43" t="s">
        <v>44</v>
      </c>
      <c r="F6" s="43" t="s">
        <v>130</v>
      </c>
      <c r="G6" s="43"/>
      <c r="H6" s="43" t="s">
        <v>135</v>
      </c>
      <c r="I6" s="43" t="s">
        <v>136</v>
      </c>
      <c r="J6" s="41" t="s">
        <v>137</v>
      </c>
      <c r="K6" s="43"/>
    </row>
    <row r="7" spans="1:11" ht="45.75" customHeight="1" x14ac:dyDescent="0.35">
      <c r="A7" s="38">
        <v>3</v>
      </c>
      <c r="B7" s="39" t="s">
        <v>126</v>
      </c>
      <c r="C7" s="39" t="s">
        <v>138</v>
      </c>
      <c r="D7" s="40" t="s">
        <v>128</v>
      </c>
      <c r="E7" s="39" t="s">
        <v>82</v>
      </c>
      <c r="F7" s="39" t="s">
        <v>130</v>
      </c>
      <c r="G7" s="39"/>
      <c r="H7" s="39" t="s">
        <v>139</v>
      </c>
      <c r="I7" s="39" t="s">
        <v>140</v>
      </c>
      <c r="J7" s="41" t="s">
        <v>141</v>
      </c>
      <c r="K7" s="39"/>
    </row>
    <row r="8" spans="1:11" ht="45.75" customHeight="1" x14ac:dyDescent="0.35">
      <c r="A8" s="42">
        <v>4</v>
      </c>
      <c r="B8" s="43" t="s">
        <v>126</v>
      </c>
      <c r="C8" s="43" t="s">
        <v>142</v>
      </c>
      <c r="D8" s="44" t="s">
        <v>128</v>
      </c>
      <c r="E8" s="43" t="s">
        <v>129</v>
      </c>
      <c r="F8" s="43" t="s">
        <v>130</v>
      </c>
      <c r="G8" s="43"/>
      <c r="H8" s="43" t="s">
        <v>143</v>
      </c>
      <c r="I8" s="43" t="s">
        <v>144</v>
      </c>
      <c r="J8" s="41" t="s">
        <v>145</v>
      </c>
      <c r="K8" s="43"/>
    </row>
    <row r="9" spans="1:11" ht="45.75" customHeight="1" x14ac:dyDescent="0.35">
      <c r="A9" s="38">
        <v>5</v>
      </c>
      <c r="B9" s="39" t="s">
        <v>126</v>
      </c>
      <c r="C9" s="39" t="s">
        <v>146</v>
      </c>
      <c r="D9" s="40" t="s">
        <v>128</v>
      </c>
      <c r="E9" s="39" t="s">
        <v>129</v>
      </c>
      <c r="F9" s="39" t="s">
        <v>147</v>
      </c>
      <c r="G9" s="39"/>
      <c r="H9" s="39" t="s">
        <v>148</v>
      </c>
      <c r="I9" s="39" t="s">
        <v>149</v>
      </c>
      <c r="J9" s="41" t="s">
        <v>150</v>
      </c>
      <c r="K9" s="39"/>
    </row>
    <row r="10" spans="1:11" ht="45.75" customHeight="1" x14ac:dyDescent="0.35">
      <c r="A10" s="42">
        <v>6</v>
      </c>
      <c r="B10" s="43" t="s">
        <v>126</v>
      </c>
      <c r="C10" s="43" t="s">
        <v>151</v>
      </c>
      <c r="D10" s="44" t="s">
        <v>128</v>
      </c>
      <c r="E10" s="43" t="s">
        <v>79</v>
      </c>
      <c r="F10" s="43" t="s">
        <v>152</v>
      </c>
      <c r="G10" s="43"/>
      <c r="H10" s="43" t="s">
        <v>153</v>
      </c>
      <c r="I10" s="43" t="s">
        <v>154</v>
      </c>
      <c r="J10" s="41" t="s">
        <v>155</v>
      </c>
      <c r="K10" s="43"/>
    </row>
    <row r="11" spans="1:11" ht="45.75" customHeight="1" x14ac:dyDescent="0.35">
      <c r="A11" s="38">
        <v>7</v>
      </c>
      <c r="B11" s="39" t="s">
        <v>156</v>
      </c>
      <c r="C11" s="39" t="s">
        <v>157</v>
      </c>
      <c r="D11" s="40" t="s">
        <v>158</v>
      </c>
      <c r="E11" s="39" t="s">
        <v>39</v>
      </c>
      <c r="F11" s="39" t="s">
        <v>159</v>
      </c>
      <c r="G11" s="39" t="s">
        <v>160</v>
      </c>
      <c r="H11" s="39" t="s">
        <v>161</v>
      </c>
      <c r="I11" s="39" t="s">
        <v>162</v>
      </c>
      <c r="J11" s="41" t="s">
        <v>163</v>
      </c>
      <c r="K11" s="39"/>
    </row>
    <row r="12" spans="1:11" ht="45.75" customHeight="1" x14ac:dyDescent="0.35">
      <c r="A12" s="42">
        <v>8</v>
      </c>
      <c r="B12" s="43" t="s">
        <v>156</v>
      </c>
      <c r="C12" s="43" t="s">
        <v>164</v>
      </c>
      <c r="D12" s="44" t="s">
        <v>158</v>
      </c>
      <c r="E12" s="43" t="s">
        <v>42</v>
      </c>
      <c r="F12" s="43" t="s">
        <v>159</v>
      </c>
      <c r="G12" s="43" t="s">
        <v>160</v>
      </c>
      <c r="H12" s="43" t="s">
        <v>165</v>
      </c>
      <c r="I12" s="43" t="s">
        <v>166</v>
      </c>
      <c r="J12" s="41" t="s">
        <v>167</v>
      </c>
      <c r="K12" s="43"/>
    </row>
    <row r="13" spans="1:11" ht="45.75" customHeight="1" x14ac:dyDescent="0.35">
      <c r="A13" s="38">
        <v>9</v>
      </c>
      <c r="B13" s="39" t="s">
        <v>156</v>
      </c>
      <c r="C13" s="39" t="s">
        <v>168</v>
      </c>
      <c r="D13" s="40" t="s">
        <v>158</v>
      </c>
      <c r="E13" s="39" t="s">
        <v>42</v>
      </c>
      <c r="F13" s="39" t="s">
        <v>159</v>
      </c>
      <c r="G13" s="39" t="s">
        <v>160</v>
      </c>
      <c r="H13" s="39" t="s">
        <v>169</v>
      </c>
      <c r="I13" s="39" t="s">
        <v>170</v>
      </c>
      <c r="J13" s="41" t="s">
        <v>171</v>
      </c>
      <c r="K13" s="39"/>
    </row>
    <row r="14" spans="1:11" ht="45.75" customHeight="1" x14ac:dyDescent="0.35">
      <c r="A14" s="42">
        <v>10</v>
      </c>
      <c r="B14" s="43" t="s">
        <v>156</v>
      </c>
      <c r="C14" s="43" t="s">
        <v>172</v>
      </c>
      <c r="D14" s="44" t="s">
        <v>158</v>
      </c>
      <c r="E14" s="43" t="s">
        <v>44</v>
      </c>
      <c r="F14" s="43" t="s">
        <v>159</v>
      </c>
      <c r="G14" s="43" t="s">
        <v>160</v>
      </c>
      <c r="H14" s="43" t="s">
        <v>173</v>
      </c>
      <c r="I14" s="43" t="s">
        <v>174</v>
      </c>
      <c r="J14" s="41" t="s">
        <v>175</v>
      </c>
      <c r="K14" s="43"/>
    </row>
    <row r="15" spans="1:11" ht="45.75" customHeight="1" x14ac:dyDescent="0.35">
      <c r="A15" s="38">
        <v>11</v>
      </c>
      <c r="B15" s="39" t="s">
        <v>156</v>
      </c>
      <c r="C15" s="39" t="s">
        <v>176</v>
      </c>
      <c r="D15" s="40" t="s">
        <v>158</v>
      </c>
      <c r="E15" s="39" t="s">
        <v>44</v>
      </c>
      <c r="F15" s="39" t="s">
        <v>159</v>
      </c>
      <c r="G15" s="39" t="s">
        <v>160</v>
      </c>
      <c r="H15" s="39" t="s">
        <v>177</v>
      </c>
      <c r="I15" s="39" t="s">
        <v>178</v>
      </c>
      <c r="J15" s="41" t="s">
        <v>179</v>
      </c>
      <c r="K15" s="39"/>
    </row>
    <row r="16" spans="1:11" ht="45.75" customHeight="1" x14ac:dyDescent="0.35">
      <c r="A16" s="42">
        <v>12</v>
      </c>
      <c r="B16" s="43" t="s">
        <v>156</v>
      </c>
      <c r="C16" s="43" t="s">
        <v>180</v>
      </c>
      <c r="D16" s="44" t="s">
        <v>158</v>
      </c>
      <c r="E16" s="43" t="s">
        <v>46</v>
      </c>
      <c r="F16" s="43" t="s">
        <v>159</v>
      </c>
      <c r="G16" s="43" t="s">
        <v>160</v>
      </c>
      <c r="H16" s="43" t="s">
        <v>181</v>
      </c>
      <c r="I16" s="43" t="s">
        <v>182</v>
      </c>
      <c r="J16" s="41" t="s">
        <v>183</v>
      </c>
      <c r="K16" s="43"/>
    </row>
    <row r="17" spans="1:11" ht="45.75" customHeight="1" x14ac:dyDescent="0.35">
      <c r="A17" s="38">
        <v>13</v>
      </c>
      <c r="B17" s="39" t="s">
        <v>156</v>
      </c>
      <c r="C17" s="39" t="s">
        <v>184</v>
      </c>
      <c r="D17" s="40" t="s">
        <v>158</v>
      </c>
      <c r="E17" s="39" t="s">
        <v>46</v>
      </c>
      <c r="F17" s="39" t="s">
        <v>152</v>
      </c>
      <c r="G17" s="39" t="s">
        <v>160</v>
      </c>
      <c r="H17" s="39" t="s">
        <v>185</v>
      </c>
      <c r="I17" s="39" t="s">
        <v>186</v>
      </c>
      <c r="J17" s="41" t="s">
        <v>187</v>
      </c>
      <c r="K17" s="39"/>
    </row>
    <row r="18" spans="1:11" ht="45.75" customHeight="1" x14ac:dyDescent="0.35">
      <c r="A18" s="42">
        <v>14</v>
      </c>
      <c r="B18" s="43" t="s">
        <v>156</v>
      </c>
      <c r="C18" s="43" t="s">
        <v>188</v>
      </c>
      <c r="D18" s="44" t="s">
        <v>158</v>
      </c>
      <c r="E18" s="43" t="s">
        <v>51</v>
      </c>
      <c r="F18" s="43" t="s">
        <v>159</v>
      </c>
      <c r="G18" s="43" t="s">
        <v>160</v>
      </c>
      <c r="H18" s="43" t="s">
        <v>189</v>
      </c>
      <c r="I18" s="43" t="s">
        <v>190</v>
      </c>
      <c r="J18" s="41" t="s">
        <v>191</v>
      </c>
      <c r="K18" s="43"/>
    </row>
    <row r="19" spans="1:11" ht="45.75" customHeight="1" x14ac:dyDescent="0.35">
      <c r="A19" s="38">
        <v>15</v>
      </c>
      <c r="B19" s="39" t="s">
        <v>156</v>
      </c>
      <c r="C19" s="39" t="s">
        <v>192</v>
      </c>
      <c r="D19" s="40" t="s">
        <v>158</v>
      </c>
      <c r="E19" s="39" t="s">
        <v>53</v>
      </c>
      <c r="F19" s="39" t="s">
        <v>159</v>
      </c>
      <c r="G19" s="39" t="s">
        <v>160</v>
      </c>
      <c r="H19" s="39" t="s">
        <v>193</v>
      </c>
      <c r="I19" s="39" t="s">
        <v>194</v>
      </c>
      <c r="J19" s="41" t="s">
        <v>191</v>
      </c>
      <c r="K19" s="39"/>
    </row>
    <row r="20" spans="1:11" ht="45.75" customHeight="1" x14ac:dyDescent="0.35">
      <c r="A20" s="42">
        <v>16</v>
      </c>
      <c r="B20" s="43" t="s">
        <v>156</v>
      </c>
      <c r="C20" s="43" t="s">
        <v>195</v>
      </c>
      <c r="D20" s="44" t="s">
        <v>158</v>
      </c>
      <c r="E20" s="43" t="s">
        <v>55</v>
      </c>
      <c r="F20" s="43" t="s">
        <v>159</v>
      </c>
      <c r="G20" s="43" t="s">
        <v>160</v>
      </c>
      <c r="H20" s="43" t="s">
        <v>196</v>
      </c>
      <c r="I20" s="43" t="s">
        <v>197</v>
      </c>
      <c r="J20" s="41" t="s">
        <v>191</v>
      </c>
      <c r="K20" s="43"/>
    </row>
    <row r="21" spans="1:11" ht="45.75" customHeight="1" x14ac:dyDescent="0.35">
      <c r="A21" s="38">
        <v>17</v>
      </c>
      <c r="B21" s="39" t="s">
        <v>156</v>
      </c>
      <c r="C21" s="39" t="s">
        <v>198</v>
      </c>
      <c r="D21" s="40" t="s">
        <v>158</v>
      </c>
      <c r="E21" s="39" t="s">
        <v>57</v>
      </c>
      <c r="F21" s="39" t="s">
        <v>159</v>
      </c>
      <c r="G21" s="39" t="s">
        <v>160</v>
      </c>
      <c r="H21" s="39" t="s">
        <v>199</v>
      </c>
      <c r="I21" s="39" t="s">
        <v>200</v>
      </c>
      <c r="J21" s="41" t="s">
        <v>191</v>
      </c>
      <c r="K21" s="39"/>
    </row>
    <row r="22" spans="1:11" ht="45.75" customHeight="1" x14ac:dyDescent="0.35">
      <c r="A22" s="42">
        <v>18</v>
      </c>
      <c r="B22" s="43" t="s">
        <v>156</v>
      </c>
      <c r="C22" s="43" t="s">
        <v>201</v>
      </c>
      <c r="D22" s="44" t="s">
        <v>158</v>
      </c>
      <c r="E22" s="43" t="s">
        <v>59</v>
      </c>
      <c r="F22" s="43" t="s">
        <v>159</v>
      </c>
      <c r="G22" s="43" t="s">
        <v>160</v>
      </c>
      <c r="H22" s="43" t="s">
        <v>202</v>
      </c>
      <c r="I22" s="43" t="s">
        <v>203</v>
      </c>
      <c r="J22" s="41" t="s">
        <v>191</v>
      </c>
      <c r="K22" s="43"/>
    </row>
    <row r="23" spans="1:11" ht="45.75" customHeight="1" x14ac:dyDescent="0.35">
      <c r="A23" s="38">
        <v>19</v>
      </c>
      <c r="B23" s="39" t="s">
        <v>156</v>
      </c>
      <c r="C23" s="39" t="s">
        <v>204</v>
      </c>
      <c r="D23" s="40" t="s">
        <v>158</v>
      </c>
      <c r="E23" s="39" t="s">
        <v>61</v>
      </c>
      <c r="F23" s="39" t="s">
        <v>159</v>
      </c>
      <c r="G23" s="39" t="s">
        <v>160</v>
      </c>
      <c r="H23" s="39" t="s">
        <v>205</v>
      </c>
      <c r="I23" s="39" t="s">
        <v>206</v>
      </c>
      <c r="J23" s="41" t="s">
        <v>191</v>
      </c>
      <c r="K23" s="39"/>
    </row>
    <row r="24" spans="1:11" ht="45.75" customHeight="1" x14ac:dyDescent="0.35">
      <c r="A24" s="42">
        <v>20</v>
      </c>
      <c r="B24" s="43" t="s">
        <v>156</v>
      </c>
      <c r="C24" s="43" t="s">
        <v>207</v>
      </c>
      <c r="D24" s="44" t="s">
        <v>158</v>
      </c>
      <c r="E24" s="43" t="s">
        <v>63</v>
      </c>
      <c r="F24" s="43" t="s">
        <v>159</v>
      </c>
      <c r="G24" s="43" t="s">
        <v>160</v>
      </c>
      <c r="H24" s="43" t="s">
        <v>208</v>
      </c>
      <c r="I24" s="43" t="s">
        <v>209</v>
      </c>
      <c r="J24" s="41" t="s">
        <v>191</v>
      </c>
      <c r="K24" s="43"/>
    </row>
    <row r="25" spans="1:11" ht="45.75" customHeight="1" x14ac:dyDescent="0.35">
      <c r="A25" s="38">
        <v>21</v>
      </c>
      <c r="B25" s="39" t="s">
        <v>156</v>
      </c>
      <c r="C25" s="39" t="s">
        <v>210</v>
      </c>
      <c r="D25" s="40" t="s">
        <v>158</v>
      </c>
      <c r="E25" s="39" t="s">
        <v>65</v>
      </c>
      <c r="F25" s="39" t="s">
        <v>159</v>
      </c>
      <c r="G25" s="39" t="s">
        <v>160</v>
      </c>
      <c r="H25" s="39" t="s">
        <v>211</v>
      </c>
      <c r="I25" s="39" t="s">
        <v>212</v>
      </c>
      <c r="J25" s="41" t="s">
        <v>191</v>
      </c>
      <c r="K25" s="39"/>
    </row>
    <row r="26" spans="1:11" ht="45.75" customHeight="1" x14ac:dyDescent="0.35">
      <c r="A26" s="42">
        <v>22</v>
      </c>
      <c r="B26" s="43" t="s">
        <v>156</v>
      </c>
      <c r="C26" s="43" t="s">
        <v>213</v>
      </c>
      <c r="D26" s="44" t="s">
        <v>158</v>
      </c>
      <c r="E26" s="43" t="s">
        <v>67</v>
      </c>
      <c r="F26" s="43" t="s">
        <v>159</v>
      </c>
      <c r="G26" s="43" t="s">
        <v>160</v>
      </c>
      <c r="H26" s="43" t="s">
        <v>214</v>
      </c>
      <c r="I26" s="43" t="s">
        <v>215</v>
      </c>
      <c r="J26" s="41" t="s">
        <v>191</v>
      </c>
      <c r="K26" s="43"/>
    </row>
    <row r="27" spans="1:11" ht="45.75" customHeight="1" x14ac:dyDescent="0.35">
      <c r="A27" s="38">
        <v>23</v>
      </c>
      <c r="B27" s="39" t="s">
        <v>156</v>
      </c>
      <c r="C27" s="39" t="s">
        <v>216</v>
      </c>
      <c r="D27" s="40" t="s">
        <v>158</v>
      </c>
      <c r="E27" s="39" t="s">
        <v>69</v>
      </c>
      <c r="F27" s="39" t="s">
        <v>159</v>
      </c>
      <c r="G27" s="39" t="s">
        <v>160</v>
      </c>
      <c r="H27" s="39" t="s">
        <v>217</v>
      </c>
      <c r="I27" s="39" t="s">
        <v>218</v>
      </c>
      <c r="J27" s="41" t="s">
        <v>191</v>
      </c>
      <c r="K27" s="39"/>
    </row>
    <row r="28" spans="1:11" ht="45.75" customHeight="1" x14ac:dyDescent="0.35">
      <c r="A28" s="42">
        <v>24</v>
      </c>
      <c r="B28" s="43" t="s">
        <v>156</v>
      </c>
      <c r="C28" s="43" t="s">
        <v>219</v>
      </c>
      <c r="D28" s="44" t="s">
        <v>158</v>
      </c>
      <c r="E28" s="43" t="s">
        <v>71</v>
      </c>
      <c r="F28" s="43" t="s">
        <v>159</v>
      </c>
      <c r="G28" s="43" t="s">
        <v>160</v>
      </c>
      <c r="H28" s="43" t="s">
        <v>220</v>
      </c>
      <c r="I28" s="43" t="s">
        <v>221</v>
      </c>
      <c r="J28" s="41" t="s">
        <v>191</v>
      </c>
      <c r="K28" s="43"/>
    </row>
    <row r="29" spans="1:11" ht="45.75" customHeight="1" x14ac:dyDescent="0.35">
      <c r="A29" s="38">
        <v>25</v>
      </c>
      <c r="B29" s="39" t="s">
        <v>156</v>
      </c>
      <c r="C29" s="39" t="s">
        <v>222</v>
      </c>
      <c r="D29" s="40" t="s">
        <v>158</v>
      </c>
      <c r="E29" s="39" t="s">
        <v>73</v>
      </c>
      <c r="F29" s="39" t="s">
        <v>159</v>
      </c>
      <c r="G29" s="39" t="s">
        <v>160</v>
      </c>
      <c r="H29" s="39" t="s">
        <v>223</v>
      </c>
      <c r="I29" s="39" t="s">
        <v>224</v>
      </c>
      <c r="J29" s="41" t="s">
        <v>191</v>
      </c>
      <c r="K29" s="39"/>
    </row>
    <row r="30" spans="1:11" ht="45.75" customHeight="1" x14ac:dyDescent="0.35">
      <c r="A30" s="42">
        <v>26</v>
      </c>
      <c r="B30" s="43" t="s">
        <v>156</v>
      </c>
      <c r="C30" s="43" t="s">
        <v>225</v>
      </c>
      <c r="D30" s="44" t="s">
        <v>158</v>
      </c>
      <c r="E30" s="43" t="s">
        <v>75</v>
      </c>
      <c r="F30" s="43" t="s">
        <v>159</v>
      </c>
      <c r="G30" s="43" t="s">
        <v>160</v>
      </c>
      <c r="H30" s="43" t="s">
        <v>226</v>
      </c>
      <c r="I30" s="43" t="s">
        <v>227</v>
      </c>
      <c r="J30" s="41" t="s">
        <v>191</v>
      </c>
      <c r="K30" s="43"/>
    </row>
    <row r="31" spans="1:11" ht="45.75" customHeight="1" x14ac:dyDescent="0.35">
      <c r="A31" s="38">
        <v>27</v>
      </c>
      <c r="B31" s="39" t="s">
        <v>228</v>
      </c>
      <c r="C31" s="39" t="s">
        <v>229</v>
      </c>
      <c r="D31" s="40" t="s">
        <v>230</v>
      </c>
      <c r="E31" s="39" t="s">
        <v>129</v>
      </c>
      <c r="F31" s="39" t="s">
        <v>231</v>
      </c>
      <c r="G31" s="39"/>
      <c r="H31" s="39" t="s">
        <v>232</v>
      </c>
      <c r="I31" s="39" t="s">
        <v>233</v>
      </c>
      <c r="J31" s="41" t="s">
        <v>234</v>
      </c>
      <c r="K31" s="39"/>
    </row>
    <row r="32" spans="1:11" ht="45.75" customHeight="1" x14ac:dyDescent="0.35">
      <c r="A32" s="42">
        <v>28</v>
      </c>
      <c r="B32" s="43" t="s">
        <v>228</v>
      </c>
      <c r="C32" s="43" t="s">
        <v>235</v>
      </c>
      <c r="D32" s="44" t="s">
        <v>230</v>
      </c>
      <c r="E32" s="43" t="s">
        <v>129</v>
      </c>
      <c r="F32" s="43" t="s">
        <v>231</v>
      </c>
      <c r="G32" s="43"/>
      <c r="H32" s="43" t="s">
        <v>236</v>
      </c>
      <c r="I32" s="43" t="s">
        <v>237</v>
      </c>
      <c r="J32" s="41" t="s">
        <v>238</v>
      </c>
      <c r="K32" s="43"/>
    </row>
    <row r="33" spans="1:11" ht="45.75" customHeight="1" x14ac:dyDescent="0.35">
      <c r="A33" s="38">
        <v>29</v>
      </c>
      <c r="B33" s="39" t="s">
        <v>228</v>
      </c>
      <c r="C33" s="39" t="s">
        <v>239</v>
      </c>
      <c r="D33" s="40" t="s">
        <v>230</v>
      </c>
      <c r="E33" s="39" t="s">
        <v>129</v>
      </c>
      <c r="F33" s="39" t="s">
        <v>231</v>
      </c>
      <c r="G33" s="39"/>
      <c r="H33" s="39" t="s">
        <v>240</v>
      </c>
      <c r="I33" s="39" t="s">
        <v>241</v>
      </c>
      <c r="J33" s="41" t="s">
        <v>242</v>
      </c>
      <c r="K33" s="39"/>
    </row>
    <row r="34" spans="1:11" ht="45.75" customHeight="1" x14ac:dyDescent="0.35">
      <c r="A34" s="42">
        <v>30</v>
      </c>
      <c r="B34" s="43" t="s">
        <v>228</v>
      </c>
      <c r="C34" s="43" t="s">
        <v>243</v>
      </c>
      <c r="D34" s="44" t="s">
        <v>230</v>
      </c>
      <c r="E34" s="43" t="s">
        <v>129</v>
      </c>
      <c r="F34" s="43" t="s">
        <v>231</v>
      </c>
      <c r="G34" s="43"/>
      <c r="H34" s="43" t="s">
        <v>244</v>
      </c>
      <c r="I34" s="43" t="s">
        <v>245</v>
      </c>
      <c r="J34" s="41" t="s">
        <v>246</v>
      </c>
      <c r="K34" s="43"/>
    </row>
    <row r="35" spans="1:11" ht="45.75" customHeight="1" x14ac:dyDescent="0.35">
      <c r="A35" s="38">
        <v>31</v>
      </c>
      <c r="B35" s="39" t="s">
        <v>247</v>
      </c>
      <c r="C35" s="39" t="s">
        <v>248</v>
      </c>
      <c r="D35" s="40" t="s">
        <v>230</v>
      </c>
      <c r="E35" s="39" t="s">
        <v>129</v>
      </c>
      <c r="F35" s="39" t="s">
        <v>152</v>
      </c>
      <c r="G35" s="39"/>
      <c r="H35" s="39" t="s">
        <v>249</v>
      </c>
      <c r="I35" s="39" t="s">
        <v>250</v>
      </c>
      <c r="J35" s="41" t="s">
        <v>251</v>
      </c>
      <c r="K35" s="39"/>
    </row>
    <row r="36" spans="1:11" ht="45.75" customHeight="1" x14ac:dyDescent="0.35">
      <c r="A36" s="42">
        <v>32</v>
      </c>
      <c r="B36" s="43" t="s">
        <v>247</v>
      </c>
      <c r="C36" s="43" t="s">
        <v>252</v>
      </c>
      <c r="D36" s="44" t="s">
        <v>230</v>
      </c>
      <c r="E36" s="43" t="s">
        <v>129</v>
      </c>
      <c r="F36" s="43" t="s">
        <v>152</v>
      </c>
      <c r="G36" s="43"/>
      <c r="H36" s="43" t="s">
        <v>253</v>
      </c>
      <c r="I36" s="43" t="s">
        <v>254</v>
      </c>
      <c r="J36" s="41" t="s">
        <v>255</v>
      </c>
      <c r="K36" s="43"/>
    </row>
    <row r="37" spans="1:11" ht="45.75" customHeight="1" x14ac:dyDescent="0.35">
      <c r="A37" s="38">
        <v>33</v>
      </c>
      <c r="B37" s="39" t="s">
        <v>256</v>
      </c>
      <c r="C37" s="39" t="s">
        <v>257</v>
      </c>
      <c r="D37" s="40" t="s">
        <v>230</v>
      </c>
      <c r="E37" s="39" t="s">
        <v>51</v>
      </c>
      <c r="F37" s="39" t="s">
        <v>231</v>
      </c>
      <c r="G37" s="39"/>
      <c r="H37" s="39" t="s">
        <v>258</v>
      </c>
      <c r="I37" s="39" t="s">
        <v>259</v>
      </c>
      <c r="J37" s="41" t="s">
        <v>260</v>
      </c>
      <c r="K37" s="39"/>
    </row>
    <row r="38" spans="1:11" ht="45.75" customHeight="1" x14ac:dyDescent="0.35">
      <c r="A38" s="42">
        <v>34</v>
      </c>
      <c r="B38" s="43" t="s">
        <v>256</v>
      </c>
      <c r="C38" s="43" t="s">
        <v>261</v>
      </c>
      <c r="D38" s="44" t="s">
        <v>230</v>
      </c>
      <c r="E38" s="43" t="s">
        <v>53</v>
      </c>
      <c r="F38" s="43" t="s">
        <v>231</v>
      </c>
      <c r="G38" s="43"/>
      <c r="H38" s="43" t="s">
        <v>262</v>
      </c>
      <c r="I38" s="43" t="s">
        <v>263</v>
      </c>
      <c r="J38" s="41" t="s">
        <v>260</v>
      </c>
      <c r="K38" s="43"/>
    </row>
    <row r="39" spans="1:11" ht="45.75" customHeight="1" x14ac:dyDescent="0.35">
      <c r="A39" s="38">
        <v>35</v>
      </c>
      <c r="B39" s="39" t="s">
        <v>256</v>
      </c>
      <c r="C39" s="39" t="s">
        <v>264</v>
      </c>
      <c r="D39" s="40" t="s">
        <v>230</v>
      </c>
      <c r="E39" s="39" t="s">
        <v>55</v>
      </c>
      <c r="F39" s="39" t="s">
        <v>231</v>
      </c>
      <c r="G39" s="39"/>
      <c r="H39" s="39" t="s">
        <v>265</v>
      </c>
      <c r="I39" s="39" t="s">
        <v>266</v>
      </c>
      <c r="J39" s="41" t="s">
        <v>260</v>
      </c>
      <c r="K39" s="39"/>
    </row>
    <row r="40" spans="1:11" ht="45.75" customHeight="1" x14ac:dyDescent="0.35">
      <c r="A40" s="42">
        <v>36</v>
      </c>
      <c r="B40" s="43" t="s">
        <v>256</v>
      </c>
      <c r="C40" s="43" t="s">
        <v>267</v>
      </c>
      <c r="D40" s="44" t="s">
        <v>230</v>
      </c>
      <c r="E40" s="43" t="s">
        <v>57</v>
      </c>
      <c r="F40" s="43" t="s">
        <v>231</v>
      </c>
      <c r="G40" s="43"/>
      <c r="H40" s="43" t="s">
        <v>268</v>
      </c>
      <c r="I40" s="43" t="s">
        <v>269</v>
      </c>
      <c r="J40" s="41" t="s">
        <v>260</v>
      </c>
      <c r="K40" s="43"/>
    </row>
    <row r="41" spans="1:11" ht="45.75" customHeight="1" x14ac:dyDescent="0.35">
      <c r="A41" s="38">
        <v>37</v>
      </c>
      <c r="B41" s="39" t="s">
        <v>256</v>
      </c>
      <c r="C41" s="39" t="s">
        <v>270</v>
      </c>
      <c r="D41" s="40" t="s">
        <v>230</v>
      </c>
      <c r="E41" s="39" t="s">
        <v>59</v>
      </c>
      <c r="F41" s="39" t="s">
        <v>231</v>
      </c>
      <c r="G41" s="39"/>
      <c r="H41" s="39" t="s">
        <v>271</v>
      </c>
      <c r="I41" s="39" t="s">
        <v>272</v>
      </c>
      <c r="J41" s="41" t="s">
        <v>260</v>
      </c>
      <c r="K41" s="39"/>
    </row>
    <row r="42" spans="1:11" ht="45.75" customHeight="1" x14ac:dyDescent="0.35">
      <c r="A42" s="42">
        <v>38</v>
      </c>
      <c r="B42" s="43" t="s">
        <v>256</v>
      </c>
      <c r="C42" s="43" t="s">
        <v>273</v>
      </c>
      <c r="D42" s="44" t="s">
        <v>230</v>
      </c>
      <c r="E42" s="43" t="s">
        <v>61</v>
      </c>
      <c r="F42" s="43" t="s">
        <v>231</v>
      </c>
      <c r="G42" s="43"/>
      <c r="H42" s="43" t="s">
        <v>274</v>
      </c>
      <c r="I42" s="43" t="s">
        <v>275</v>
      </c>
      <c r="J42" s="41" t="s">
        <v>260</v>
      </c>
      <c r="K42" s="43"/>
    </row>
    <row r="43" spans="1:11" ht="45.75" customHeight="1" x14ac:dyDescent="0.35">
      <c r="A43" s="38">
        <v>39</v>
      </c>
      <c r="B43" s="39" t="s">
        <v>256</v>
      </c>
      <c r="C43" s="39" t="s">
        <v>276</v>
      </c>
      <c r="D43" s="40" t="s">
        <v>230</v>
      </c>
      <c r="E43" s="39" t="s">
        <v>63</v>
      </c>
      <c r="F43" s="39" t="s">
        <v>231</v>
      </c>
      <c r="G43" s="39"/>
      <c r="H43" s="39" t="s">
        <v>277</v>
      </c>
      <c r="I43" s="39" t="s">
        <v>278</v>
      </c>
      <c r="J43" s="41" t="s">
        <v>260</v>
      </c>
      <c r="K43" s="39"/>
    </row>
    <row r="44" spans="1:11" ht="45.75" customHeight="1" x14ac:dyDescent="0.35">
      <c r="A44" s="42">
        <v>40</v>
      </c>
      <c r="B44" s="43" t="s">
        <v>256</v>
      </c>
      <c r="C44" s="43" t="s">
        <v>279</v>
      </c>
      <c r="D44" s="44" t="s">
        <v>230</v>
      </c>
      <c r="E44" s="43" t="s">
        <v>65</v>
      </c>
      <c r="F44" s="43" t="s">
        <v>231</v>
      </c>
      <c r="G44" s="43"/>
      <c r="H44" s="43" t="s">
        <v>280</v>
      </c>
      <c r="I44" s="43" t="s">
        <v>281</v>
      </c>
      <c r="J44" s="41" t="s">
        <v>260</v>
      </c>
      <c r="K44" s="43"/>
    </row>
    <row r="45" spans="1:11" ht="45.75" customHeight="1" x14ac:dyDescent="0.35">
      <c r="A45" s="38">
        <v>41</v>
      </c>
      <c r="B45" s="39" t="s">
        <v>256</v>
      </c>
      <c r="C45" s="39" t="s">
        <v>282</v>
      </c>
      <c r="D45" s="40" t="s">
        <v>230</v>
      </c>
      <c r="E45" s="39" t="s">
        <v>67</v>
      </c>
      <c r="F45" s="39" t="s">
        <v>231</v>
      </c>
      <c r="G45" s="39"/>
      <c r="H45" s="39" t="s">
        <v>283</v>
      </c>
      <c r="I45" s="39" t="s">
        <v>284</v>
      </c>
      <c r="J45" s="41" t="s">
        <v>260</v>
      </c>
      <c r="K45" s="39"/>
    </row>
    <row r="46" spans="1:11" ht="45.75" customHeight="1" x14ac:dyDescent="0.35">
      <c r="A46" s="42">
        <v>42</v>
      </c>
      <c r="B46" s="43" t="s">
        <v>256</v>
      </c>
      <c r="C46" s="43" t="s">
        <v>285</v>
      </c>
      <c r="D46" s="44" t="s">
        <v>230</v>
      </c>
      <c r="E46" s="43" t="s">
        <v>69</v>
      </c>
      <c r="F46" s="43" t="s">
        <v>231</v>
      </c>
      <c r="G46" s="43"/>
      <c r="H46" s="43" t="s">
        <v>286</v>
      </c>
      <c r="I46" s="43" t="s">
        <v>287</v>
      </c>
      <c r="J46" s="41" t="s">
        <v>260</v>
      </c>
      <c r="K46" s="43"/>
    </row>
    <row r="47" spans="1:11" ht="45.75" customHeight="1" x14ac:dyDescent="0.35">
      <c r="A47" s="38">
        <v>43</v>
      </c>
      <c r="B47" s="39" t="s">
        <v>256</v>
      </c>
      <c r="C47" s="39" t="s">
        <v>288</v>
      </c>
      <c r="D47" s="40" t="s">
        <v>230</v>
      </c>
      <c r="E47" s="39" t="s">
        <v>71</v>
      </c>
      <c r="F47" s="39" t="s">
        <v>231</v>
      </c>
      <c r="G47" s="39"/>
      <c r="H47" s="39" t="s">
        <v>289</v>
      </c>
      <c r="I47" s="39" t="s">
        <v>290</v>
      </c>
      <c r="J47" s="41" t="s">
        <v>260</v>
      </c>
      <c r="K47" s="39"/>
    </row>
    <row r="48" spans="1:11" ht="45.75" customHeight="1" x14ac:dyDescent="0.35">
      <c r="A48" s="42">
        <v>44</v>
      </c>
      <c r="B48" s="43" t="s">
        <v>256</v>
      </c>
      <c r="C48" s="43" t="s">
        <v>291</v>
      </c>
      <c r="D48" s="44" t="s">
        <v>230</v>
      </c>
      <c r="E48" s="43" t="s">
        <v>73</v>
      </c>
      <c r="F48" s="43" t="s">
        <v>231</v>
      </c>
      <c r="G48" s="43"/>
      <c r="H48" s="43" t="s">
        <v>292</v>
      </c>
      <c r="I48" s="43" t="s">
        <v>293</v>
      </c>
      <c r="J48" s="41" t="s">
        <v>260</v>
      </c>
      <c r="K48" s="43"/>
    </row>
    <row r="49" spans="1:11" ht="45.75" customHeight="1" x14ac:dyDescent="0.35">
      <c r="A49" s="38">
        <v>45</v>
      </c>
      <c r="B49" s="39" t="s">
        <v>256</v>
      </c>
      <c r="C49" s="39" t="s">
        <v>294</v>
      </c>
      <c r="D49" s="40" t="s">
        <v>230</v>
      </c>
      <c r="E49" s="39" t="s">
        <v>75</v>
      </c>
      <c r="F49" s="39" t="s">
        <v>231</v>
      </c>
      <c r="G49" s="39"/>
      <c r="H49" s="39" t="s">
        <v>295</v>
      </c>
      <c r="I49" s="39" t="s">
        <v>296</v>
      </c>
      <c r="J49" s="41" t="s">
        <v>260</v>
      </c>
      <c r="K49" s="39"/>
    </row>
  </sheetData>
  <autoFilter ref="A4:K49" xr:uid="{00000000-0009-0000-0000-000007000000}"/>
  <mergeCells count="2">
    <mergeCell ref="A1:K1"/>
    <mergeCell ref="A2:K2"/>
  </mergeCells>
  <pageMargins left="0.4" right="0.4" top="0.5" bottom="0.5"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FC7CB"/>
    <pageSetUpPr fitToPage="1"/>
  </sheetPr>
  <dimension ref="A1:D19"/>
  <sheetViews>
    <sheetView showGridLines="0" zoomScaleNormal="100" workbookViewId="0">
      <selection sqref="A1:D1"/>
    </sheetView>
  </sheetViews>
  <sheetFormatPr defaultColWidth="8.6328125" defaultRowHeight="14.5" x14ac:dyDescent="0.35"/>
  <cols>
    <col min="1" max="1" width="3" customWidth="1"/>
    <col min="2" max="2" width="30" customWidth="1"/>
    <col min="3" max="4" width="16" customWidth="1"/>
    <col min="5" max="5" width="3" customWidth="1"/>
  </cols>
  <sheetData>
    <row r="1" spans="1:4" ht="30" customHeight="1" x14ac:dyDescent="0.35">
      <c r="A1" s="9" t="s">
        <v>297</v>
      </c>
      <c r="B1" s="9"/>
      <c r="C1" s="9"/>
      <c r="D1" s="9"/>
    </row>
    <row r="3" spans="1:4" ht="16" x14ac:dyDescent="0.5">
      <c r="B3" s="22" t="s">
        <v>298</v>
      </c>
      <c r="C3" s="55" t="str">
        <f>IF(ISBLANK('Client Setup'!$C$4),"",'Client Setup'!$C$4)</f>
        <v>Example Employer, Inc.</v>
      </c>
      <c r="D3" s="55"/>
    </row>
    <row r="4" spans="1:4" ht="16" x14ac:dyDescent="0.5">
      <c r="B4" s="22" t="s">
        <v>33</v>
      </c>
      <c r="C4" s="55" t="str">
        <f>IF(ISBLANK('Client Setup'!$C$8),"",'Client Setup'!$C$8)</f>
        <v>New to Self-Funding</v>
      </c>
      <c r="D4" s="55"/>
    </row>
    <row r="5" spans="1:4" ht="16" x14ac:dyDescent="0.5">
      <c r="B5" s="22" t="s">
        <v>30</v>
      </c>
      <c r="C5" s="55" t="str">
        <f>IF(ISBLANK('Client Setup'!C6),"",'Client Setup'!C6)</f>
        <v>CCIG Benefits Team</v>
      </c>
      <c r="D5" s="55"/>
    </row>
    <row r="6" spans="1:4" ht="16" x14ac:dyDescent="0.5">
      <c r="B6" s="22" t="s">
        <v>32</v>
      </c>
      <c r="C6" s="55" t="str">
        <f>IF(ISBLANK('Client Setup'!C7),"",'Client Setup'!C7)</f>
        <v/>
      </c>
      <c r="D6" s="55"/>
    </row>
    <row r="8" spans="1:4" ht="21.75" customHeight="1" x14ac:dyDescent="0.35">
      <c r="A8" s="8" t="s">
        <v>299</v>
      </c>
      <c r="B8" s="8"/>
      <c r="C8" s="8"/>
      <c r="D8" s="8"/>
    </row>
    <row r="9" spans="1:4" ht="15.5" x14ac:dyDescent="0.45">
      <c r="B9" s="25" t="s">
        <v>300</v>
      </c>
      <c r="C9" s="25" t="s">
        <v>301</v>
      </c>
    </row>
    <row r="10" spans="1:4" ht="15.5" x14ac:dyDescent="0.45">
      <c r="B10" s="45" t="s">
        <v>302</v>
      </c>
      <c r="C10" s="46">
        <f>COUNTIF('Signing Checklist'!$D$6:$D$46,"Yes")</f>
        <v>5</v>
      </c>
    </row>
    <row r="11" spans="1:4" ht="15.5" x14ac:dyDescent="0.45">
      <c r="B11" s="45" t="s">
        <v>303</v>
      </c>
      <c r="C11" s="46">
        <f>COUNTIF('HR Checklist'!$D$6:$D$50,"Yes")</f>
        <v>7</v>
      </c>
    </row>
    <row r="12" spans="1:4" ht="15.5" x14ac:dyDescent="0.45">
      <c r="B12" s="45" t="s">
        <v>304</v>
      </c>
      <c r="C12" s="46">
        <f>COUNTIF('Finance Checklist'!$D$6:$D$18,"Yes")</f>
        <v>3</v>
      </c>
    </row>
    <row r="14" spans="1:4" ht="21.75" customHeight="1" x14ac:dyDescent="0.35">
      <c r="A14" s="8" t="s">
        <v>305</v>
      </c>
      <c r="B14" s="8"/>
      <c r="C14" s="8"/>
      <c r="D14" s="8"/>
    </row>
    <row r="15" spans="1:4" ht="15.5" x14ac:dyDescent="0.45">
      <c r="B15" s="25" t="s">
        <v>97</v>
      </c>
      <c r="C15" s="25" t="s">
        <v>301</v>
      </c>
    </row>
    <row r="16" spans="1:4" ht="15.5" x14ac:dyDescent="0.45">
      <c r="B16" s="45" t="s">
        <v>102</v>
      </c>
      <c r="C16" s="46">
        <f>COUNTIFS('Full Roadmap'!$A$6:$A$100,"Not Started",'Full Roadmap'!$F$6:$F$100,"Yes")</f>
        <v>15</v>
      </c>
    </row>
    <row r="17" spans="2:3" ht="15.5" x14ac:dyDescent="0.45">
      <c r="B17" s="45" t="s">
        <v>306</v>
      </c>
      <c r="C17" s="46">
        <f>COUNTIFS('Full Roadmap'!$A$6:$A$100,"In Progress",'Full Roadmap'!$F$6:$F$100,"Yes")</f>
        <v>0</v>
      </c>
    </row>
    <row r="18" spans="2:3" ht="15.5" x14ac:dyDescent="0.45">
      <c r="B18" s="45" t="s">
        <v>307</v>
      </c>
      <c r="C18" s="46">
        <f>COUNTIFS('Full Roadmap'!$A$6:$A$100,"Complete",'Full Roadmap'!$F$6:$F$100,"Yes")</f>
        <v>0</v>
      </c>
    </row>
    <row r="19" spans="2:3" ht="15.5" x14ac:dyDescent="0.45">
      <c r="B19" s="45" t="s">
        <v>308</v>
      </c>
      <c r="C19" s="46">
        <f>COUNTIFS('Full Roadmap'!$A$6:$A$100,"N/A",'Full Roadmap'!$F$6:$F$100,"Yes")</f>
        <v>0</v>
      </c>
    </row>
  </sheetData>
  <mergeCells count="7">
    <mergeCell ref="A8:D8"/>
    <mergeCell ref="A14:D14"/>
    <mergeCell ref="A1:D1"/>
    <mergeCell ref="C3:D3"/>
    <mergeCell ref="C4:D4"/>
    <mergeCell ref="C5:D5"/>
    <mergeCell ref="C6:D6"/>
  </mergeCells>
  <pageMargins left="0.4" right="0.4" top="0.5" bottom="0.5"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Instructions</vt:lpstr>
      <vt:lpstr>Client Setup</vt:lpstr>
      <vt:lpstr>Roadmap Overview</vt:lpstr>
      <vt:lpstr>HR Checklist</vt:lpstr>
      <vt:lpstr>Finance Checklist</vt:lpstr>
      <vt:lpstr>Signing Checklist</vt:lpstr>
      <vt:lpstr>Full Roadmap</vt:lpstr>
      <vt:lpstr>Document &amp; Task Library</vt:lpstr>
      <vt:lpstr>Project Tracker</vt:lpstr>
      <vt:lpstr>'Client Setup'!Print_Area</vt:lpstr>
      <vt:lpstr>'Document &amp; Task Library'!Print_Area</vt:lpstr>
      <vt:lpstr>'Finance Checklist'!Print_Area</vt:lpstr>
      <vt:lpstr>'Full Roadmap'!Print_Area</vt:lpstr>
      <vt:lpstr>'HR Checklist'!Print_Area</vt:lpstr>
      <vt:lpstr>Instructions!Print_Area</vt:lpstr>
      <vt:lpstr>'Project Tracker'!Print_Area</vt:lpstr>
      <vt:lpstr>'Roadmap Overview'!Print_Area</vt:lpstr>
      <vt:lpstr>'Signing Checklist'!Print_Area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Nick Kokat</cp:lastModifiedBy>
  <cp:revision>0</cp:revision>
  <dcterms:created xsi:type="dcterms:W3CDTF">2026-08-24T15:37:15Z</dcterms:created>
  <dcterms:modified xsi:type="dcterms:W3CDTF">2026-09-28T21:00:02Z</dcterms:modified>
  <dc:language>en-US</dc:language>
</cp:coreProperties>
</file>